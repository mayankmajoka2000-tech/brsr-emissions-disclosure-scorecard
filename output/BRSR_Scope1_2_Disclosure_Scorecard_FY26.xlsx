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Scores" sheetId="2" state="visible" r:id="rId4"/>
    <sheet name="Rubric" sheetId="3" state="visible" r:id="rId5"/>
    <sheet name="Assessment" sheetId="4" state="visible" r:id="rId6"/>
    <sheet name="Emissions Data" sheetId="5" state="visible" r:id="rId7"/>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ITC reports in kilotonnes and Tata Steel in million tonnes; converted to tCO2e here.</t>
        </r>
      </text>
    </comment>
  </commentList>
</comments>
</file>

<file path=xl/sharedStrings.xml><?xml version="1.0" encoding="utf-8"?>
<sst xmlns="http://schemas.openxmlformats.org/spreadsheetml/2006/main" count="366" uniqueCount="170">
  <si>
    <t xml:space="preserve">BRSR Scope 1 &amp; 2 Disclosure Scorecard: 10 Nifty 50 companies, FY2025-26</t>
  </si>
  <si>
    <t xml:space="preserve">Quality of greenhouse-gas disclosure in SEBI Business Responsibility &amp; Sustainability Reports</t>
  </si>
  <si>
    <t xml:space="preserve">What this scores</t>
  </si>
  <si>
    <t xml:space="preserve">How well each company discloses its Scope 1 and 2 emissions in its FY2025-26 BRSR (Principle 6, Essential Indicator 7, plus the Scope 3 leadership indicator). It scores disclosure quality and transparency, not emissions performance: a heavy emitter can score well if it reports clearly.</t>
  </si>
  <si>
    <t xml:space="preserve">Sheets</t>
  </si>
  <si>
    <t xml:space="preserve">Scores: total score out of 100, rank and grade, computed by formula from the Assessment and Rubric sheets.</t>
  </si>
  <si>
    <t xml:space="preserve">Assessment: the level assigned to each company on each criterion (yellow cells, blue text = editable input), with rationale.</t>
  </si>
  <si>
    <t xml:space="preserve">Rubric: the 9 criteria, their weights and the points for each level. Edit points here and all scores update.</t>
  </si>
  <si>
    <t xml:space="preserve">Emissions Data: Scope 1, 2 and 3 figures as reported, year-on-year change, intensities, assurer and target, with source links.</t>
  </si>
  <si>
    <t xml:space="preserve">Method</t>
  </si>
  <si>
    <t xml:space="preserve">1. Sample: 10 Nifty 50 constituents across 9 sectors, weighted toward high emitters (power, cement, steel, oil) with IT, banking, FMCG, autos and engineering for contrast.</t>
  </si>
  <si>
    <t xml:space="preserve">2. Source: each company's FY2025-26 BRSR as filed with NSE or published on its website (filed May-Aug 2026). Figures were extracted from the PDF text layer and checked against the GHG table of each report.</t>
  </si>
  <si>
    <t xml:space="preserve">3. Scoring: 9 criteria weighted to 100 points, built from the BRSR format itself (SEBI circular, BRSR Core) and from what assurance and investor frameworks treat as decision-useful (GHG Protocol Scope 2 guidance, ISO 14064, SBTi).</t>
  </si>
  <si>
    <t xml:space="preserve">4. Grades: A &gt;= 85, B 70-84, C 55-69, D &lt; 55.</t>
  </si>
  <si>
    <t xml:space="preserve">Limitations</t>
  </si>
  <si>
    <t xml:space="preserve">Only the BRSR document is scored. Several companies disclose more in separate ESG databooks or climate reports (e.g. Infosys gas split, Tata Steel Climate Change Report), which this scorecard deliberately does not credit, since BRSR is the regulated disclosure. Levels are analyst judgements and are documented on the Assessment sheet.</t>
  </si>
  <si>
    <t xml:space="preserve">Reported units differ (tCO2e, kilotonnes, million tonnes); the Emissions Data sheet converts all to tCO2e.</t>
  </si>
  <si>
    <t xml:space="preserve">Prepared by Mayank Majoka, October 2026. Not investment advice.</t>
  </si>
  <si>
    <t xml:space="preserve">BRSR Scope 1 &amp; 2 Disclosure Scores, FY2025-26</t>
  </si>
  <si>
    <t xml:space="preserve">Out of 100. Higher = more complete, transparent and assured disclosure (not lower emissions).</t>
  </si>
  <si>
    <t xml:space="preserve">Company</t>
  </si>
  <si>
    <t xml:space="preserve">Sector</t>
  </si>
  <si>
    <t xml:space="preserve">Absolute Scope 1 &amp; 2</t>
  </si>
  <si>
    <t xml:space="preserve">Gas-wise breakdown</t>
  </si>
  <si>
    <t xml:space="preserve">Intensity metrics</t>
  </si>
  <si>
    <t xml:space="preserve">Scope 2 method</t>
  </si>
  <si>
    <t xml:space="preserve">Methodology &amp; factors</t>
  </si>
  <si>
    <t xml:space="preserve">External assurance</t>
  </si>
  <si>
    <t xml:space="preserve">Boundary clarity</t>
  </si>
  <si>
    <t xml:space="preserve">Scope 3 (leadership)</t>
  </si>
  <si>
    <t xml:space="preserve">Reduction target</t>
  </si>
  <si>
    <t xml:space="preserve">Total (/100)</t>
  </si>
  <si>
    <t xml:space="preserve">Rank</t>
  </si>
  <si>
    <t xml:space="preserve">Grade</t>
  </si>
  <si>
    <t xml:space="preserve">Oil to chemicals</t>
  </si>
  <si>
    <t xml:space="preserve">IT services</t>
  </si>
  <si>
    <t xml:space="preserve">Banking</t>
  </si>
  <si>
    <t xml:space="preserve">FMCG / conglomerate</t>
  </si>
  <si>
    <t xml:space="preserve">Power generation</t>
  </si>
  <si>
    <t xml:space="preserve">Cement</t>
  </si>
  <si>
    <t xml:space="preserve">Engineering &amp; construction</t>
  </si>
  <si>
    <t xml:space="preserve">Automobiles</t>
  </si>
  <si>
    <t xml:space="preserve">Steel</t>
  </si>
  <si>
    <t xml:space="preserve">Average</t>
  </si>
  <si>
    <t xml:space="preserve">Maximum possible</t>
  </si>
  <si>
    <t xml:space="preserve">Average as % of max</t>
  </si>
  <si>
    <t xml:space="preserve">Criterion</t>
  </si>
  <si>
    <t xml:space="preserve">Level</t>
  </si>
  <si>
    <t xml:space="preserve">Points</t>
  </si>
  <si>
    <t xml:space="preserve">Max points</t>
  </si>
  <si>
    <t xml:space="preserve">What it measures</t>
  </si>
  <si>
    <t xml:space="preserve">Full</t>
  </si>
  <si>
    <t xml:space="preserve">Scope 1 and Scope 2 reported in tCO2e for current and prior year at usable precision</t>
  </si>
  <si>
    <t xml:space="preserve">Rounded</t>
  </si>
  <si>
    <t xml:space="preserve">Partial</t>
  </si>
  <si>
    <t xml:space="preserve">Missing</t>
  </si>
  <si>
    <t xml:space="preserve">Break-up into CO2, CH4, N2O, HFCs etc., as the BRSR format requests 'if available'</t>
  </si>
  <si>
    <t xml:space="preserve">None</t>
  </si>
  <si>
    <t xml:space="preserve">All three</t>
  </si>
  <si>
    <t xml:space="preserve">Per rupee of turnover, PPP-adjusted, and physical-output intensity (5 points each)</t>
  </si>
  <si>
    <t xml:space="preserve">Two</t>
  </si>
  <si>
    <t xml:space="preserve">One</t>
  </si>
  <si>
    <t xml:space="preserve">Both</t>
  </si>
  <si>
    <t xml:space="preserve">States market- vs location-based; full marks when both figures are given</t>
  </si>
  <si>
    <t xml:space="preserve">One stated</t>
  </si>
  <si>
    <t xml:space="preserve">Not stated</t>
  </si>
  <si>
    <t xml:space="preserve">Stated</t>
  </si>
  <si>
    <t xml:space="preserve">Names the standard (GHG Protocol / ISO 14064 / IPCC) and emission-factor sources</t>
  </si>
  <si>
    <t xml:space="preserve">Referenced elsewhere</t>
  </si>
  <si>
    <t xml:space="preserve">Reasonable</t>
  </si>
  <si>
    <t xml:space="preserve">Independent assurance of the GHG figures and its level</t>
  </si>
  <si>
    <t xml:space="preserve">Limited</t>
  </si>
  <si>
    <t xml:space="preserve">Consolidated</t>
  </si>
  <si>
    <t xml:space="preserve">Clear organisational boundary; consolidated coverage scores higher</t>
  </si>
  <si>
    <t xml:space="preserve">Standalone</t>
  </si>
  <si>
    <t xml:space="preserve">Unclear</t>
  </si>
  <si>
    <t xml:space="preserve">Category breakdown</t>
  </si>
  <si>
    <t xml:space="preserve">Voluntary Scope 3 disclosure; category-level split scores higher</t>
  </si>
  <si>
    <t xml:space="preserve">Total only</t>
  </si>
  <si>
    <t xml:space="preserve">Not disclosed</t>
  </si>
  <si>
    <t xml:space="preserve">SBTi</t>
  </si>
  <si>
    <t xml:space="preserve">Science-based target, or at least a dated net-zero / neutrality commitment</t>
  </si>
  <si>
    <t xml:space="preserve">Dated net zero</t>
  </si>
  <si>
    <t xml:space="preserve">None found</t>
  </si>
  <si>
    <t xml:space="preserve">Total possible</t>
  </si>
  <si>
    <t xml:space="preserve">Blue values are editable inputs; scores on the Scores sheet update automatically.</t>
  </si>
  <si>
    <t xml:space="preserve">Rationale</t>
  </si>
  <si>
    <t xml:space="preserve">Reliance Industries</t>
  </si>
  <si>
    <t xml:space="preserve">Best-in-class gas split and dual Scope 2; Scope 3 table left without values.</t>
  </si>
  <si>
    <t xml:space="preserve">Tata Consultancy Services</t>
  </si>
  <si>
    <t xml:space="preserve">Complete on every criterion: gas split, factor sources, 7-category Scope 3, 1.5C SBTi target.</t>
  </si>
  <si>
    <t xml:space="preserve">Infosys</t>
  </si>
  <si>
    <t xml:space="preserve">Strong, but gas split and Scope 3 categories pushed to the ESG Databook rather than the BRSR.</t>
  </si>
  <si>
    <t xml:space="preserve">HDFC Bank</t>
  </si>
  <si>
    <t xml:space="preserve">Detailed gas split and factors; no location-based Scope 2; financed emissions absent.</t>
  </si>
  <si>
    <t xml:space="preserve">ITC</t>
  </si>
  <si>
    <t xml:space="preserve">ISO 14064 inventory with dual Scope 2; no gas split; kilotonne precision.</t>
  </si>
  <si>
    <t xml:space="preserve">NTPC</t>
  </si>
  <si>
    <t xml:space="preserve">India's largest emitter: figures assured but no method, Scope 2 basis or reduction target.</t>
  </si>
  <si>
    <t xml:space="preserve">UltraTech Cement</t>
  </si>
  <si>
    <t xml:space="preserve">SBTi-validated targets, but BRSR omits methodology and Scope 2 basis.</t>
  </si>
  <si>
    <t xml:space="preserve">Larsen &amp; Toubro</t>
  </si>
  <si>
    <t xml:space="preserve">No physical intensity, gas split or Scope 2 basis; Scope 3 explicitly unassured.</t>
  </si>
  <si>
    <t xml:space="preserve">Mahindra &amp; Mahindra</t>
  </si>
  <si>
    <t xml:space="preserve">GHG Protocol + ISO 14064-3 verified, segment intensities; no gas split.</t>
  </si>
  <si>
    <t xml:space="preserve">Tata Steel</t>
  </si>
  <si>
    <t xml:space="preserve">Only company giving standalone and consolidated; figures rounded to whole Mt.</t>
  </si>
  <si>
    <t xml:space="preserve">Yellow cells are inputs: choose a level from the dropdown. Points come from the Rubric sheet.</t>
  </si>
  <si>
    <t xml:space="preserve">Boundary</t>
  </si>
  <si>
    <t xml:space="preserve">Scope 1 FY26 (tCO2e)</t>
  </si>
  <si>
    <t xml:space="preserve">Scope 1 FY25 (tCO2e)</t>
  </si>
  <si>
    <t xml:space="preserve">Scope 1 YoY</t>
  </si>
  <si>
    <t xml:space="preserve">Scope 2 FY26 (tCO2e)</t>
  </si>
  <si>
    <t xml:space="preserve">Scope 2 FY25 (tCO2e)</t>
  </si>
  <si>
    <t xml:space="preserve">Scope 2 YoY</t>
  </si>
  <si>
    <t xml:space="preserve">Scope 1+2 FY26 (tCO2e)</t>
  </si>
  <si>
    <t xml:space="preserve">Scope 1 share</t>
  </si>
  <si>
    <t xml:space="preserve">Scope 2 basis reported</t>
  </si>
  <si>
    <t xml:space="preserve">Scope 2 location-based FY26</t>
  </si>
  <si>
    <t xml:space="preserve">Scope 3 FY26 (tCO2e)</t>
  </si>
  <si>
    <t xml:space="preserve">Scope 3 FY25 (tCO2e)</t>
  </si>
  <si>
    <t xml:space="preserve">Physical intensity FY26</t>
  </si>
  <si>
    <t xml:space="preserve">Intensity unit</t>
  </si>
  <si>
    <t xml:space="preserve">Assurer</t>
  </si>
  <si>
    <t xml:space="preserve">Assurance level</t>
  </si>
  <si>
    <t xml:space="preserve">Stated target</t>
  </si>
  <si>
    <t xml:space="preserve">Notes</t>
  </si>
  <si>
    <t xml:space="preserve">Source (BRSR FY2025-26)</t>
  </si>
  <si>
    <t xml:space="preserve">Market-based</t>
  </si>
  <si>
    <t xml:space="preserve">tCO2e per tonne of throughput (O2C)</t>
  </si>
  <si>
    <t xml:space="preserve">Deloitte Haskins &amp; Sells LLP</t>
  </si>
  <si>
    <t xml:space="preserve">Net Carbon Zero by 2035</t>
  </si>
  <si>
    <t xml:space="preserve">Gas-wise split (CO2 / CH4 / N2O) given. Methodology: IPCC guidelines with lab-derived CO2 factors. Scope 3 table present but no values found in the text layer of the filing. GHG boundary covers O2C; E&amp;P; CBG plants and owned telecom towers.</t>
  </si>
  <si>
    <t xml:space="preserve">Open report</t>
  </si>
  <si>
    <t xml:space="preserve">Not labelled (location-based shown separately)</t>
  </si>
  <si>
    <t xml:space="preserve">tCO2e per FTE</t>
  </si>
  <si>
    <t xml:space="preserve">KPMG Assurance and Consulting Services LLP</t>
  </si>
  <si>
    <t xml:space="preserve">SBTi 1.5C near-term: -90% abs. Scope 1+2 by FY2030 vs FY2016; -35% Scope 3 by FY2034</t>
  </si>
  <si>
    <t xml:space="preserve">Gas-wise split incl. HFCs. Emission factors: DEFRA 2025 (Scope 1); CEA CO2 Baseline Database v21 (Scope 2). Scope 3 split across categories 1-7.</t>
  </si>
  <si>
    <t xml:space="preserve">Carbon neutral since FY2020 (Scope 1+2+3)</t>
  </si>
  <si>
    <t xml:space="preserve">No gas split in BRSR (refers to ESG Databook Annexure 4 and 6). Scope 3 FY25 restated to add Category 1. Scope 1 covers owned offices (India/US/China) and leased India offices.</t>
  </si>
  <si>
    <t xml:space="preserve">SGS India Private Limited</t>
  </si>
  <si>
    <t xml:space="preserve">Carbon neutral (operational) by FY2031-32</t>
  </si>
  <si>
    <t xml:space="preserve">Gas-wise split incl. HFCs (fire suppression agents). Factors: IPCC 2006; AR6 GWPs; CEA v21. Scope 1 rose 18% due to fleet expansion and wider fire-extinguisher coverage. Financed emissions not reported in BRSR GHG table.</t>
  </si>
  <si>
    <t xml:space="preserve">tCO2e per tonne (Paperboards &amp; Specialty Papers)</t>
  </si>
  <si>
    <t xml:space="preserve">Net Zero Operations by 2050</t>
  </si>
  <si>
    <t xml:space="preserve">Reported in kilotonnes. No gas split. Inventory per ISO 14064:2018 and WRI/WBCSD GHG Protocol. Scope 3 rise reflects wider downstream logistics boundary (GLEC).</t>
  </si>
  <si>
    <t xml:space="preserve">gCO2e per kWh</t>
  </si>
  <si>
    <t xml:space="preserve">TUV India Private Limited</t>
  </si>
  <si>
    <t xml:space="preserve">No net-zero or absolute GHG target found in BRSR</t>
  </si>
  <si>
    <t xml:space="preserve">No gas split. No methodology or Scope 2 basis stated. Scope 3 jump (1.97 Mt to 10.59 Mt) reflects added categories 1-4.</t>
  </si>
  <si>
    <t xml:space="preserve">kgCO2 per tonne cementitious</t>
  </si>
  <si>
    <t xml:space="preserve">TUV SUD South Asia Private Limited</t>
  </si>
  <si>
    <t xml:space="preserve">SBTi-validated: -27% Scope 1 intensity and -69% Scope 2 intensity by 2032 vs 2017; net zero 2050</t>
  </si>
  <si>
    <t xml:space="preserve">No gas split. No methodology or Scope 2 basis stated in BRSR. Absolute Scope 1 up 9.6% with capacity growth while intensity fell 3%.</t>
  </si>
  <si>
    <t xml:space="preserve">BDO India Services Private Limited</t>
  </si>
  <si>
    <t xml:space="preserve">Carbon neutrality by 2040</t>
  </si>
  <si>
    <t xml:space="preserve">No gas split; no physical-output intensity. Methodology referred to 'Notes on Sustainability Information' in the Integrated Report. Scope 3 explicitly not assured.</t>
  </si>
  <si>
    <t xml:space="preserve">tCO2e per equivalent vehicle (Auto)</t>
  </si>
  <si>
    <t xml:space="preserve">DNV Business Assurance India Private Limited</t>
  </si>
  <si>
    <t xml:space="preserve">Carbon neutral (Scope 1+2) by 2040; SBT commitment</t>
  </si>
  <si>
    <t xml:space="preserve">No gas split. GHG Protocol; DNV verified to ISO 14064-3. Scope 3 rise driven by adding Trucks &amp; Buses business.</t>
  </si>
  <si>
    <t xml:space="preserve">Standalone + consolidated</t>
  </si>
  <si>
    <t xml:space="preserve">Location-based</t>
  </si>
  <si>
    <t xml:space="preserve">tCO2e per tonne crude steel (standalone)</t>
  </si>
  <si>
    <t xml:space="preserve">Price Waterhouse &amp; Co Chartered Accountants LLP</t>
  </si>
  <si>
    <t xml:space="preserve">Net Zero by 2045</t>
  </si>
  <si>
    <t xml:space="preserve">Reported in million tonnes (rounded). Consolidated: Scope 1 78 Mt; Scope 2 6 Mt; Scope 3 32 Mt. GHG Protocol Corporate and Scope 3 standards. Assurance covers standalone figures.</t>
  </si>
  <si>
    <t xml:space="preserve">Total (10 companies)</t>
  </si>
  <si>
    <t xml:space="preserve">Blue figures are as reported in each FY2025-26 BRSR (Principle 6). Black cells are formulas.</t>
  </si>
</sst>
</file>

<file path=xl/styles.xml><?xml version="1.0" encoding="utf-8"?>
<styleSheet xmlns="http://schemas.openxmlformats.org/spreadsheetml/2006/main">
  <numFmts count="7">
    <numFmt numFmtId="164" formatCode="General"/>
    <numFmt numFmtId="165" formatCode="General"/>
    <numFmt numFmtId="166" formatCode="0.0"/>
    <numFmt numFmtId="167" formatCode="0%"/>
    <numFmt numFmtId="168" formatCode="#,##0;\(#,##0\);\-"/>
    <numFmt numFmtId="169" formatCode="0.0%;\-0.0%;\-"/>
    <numFmt numFmtId="170" formatCode="0.000"/>
  </numFmts>
  <fonts count="16">
    <font>
      <sz val="11"/>
      <color theme="1"/>
      <name val="Calibri"/>
      <family val="2"/>
      <charset val="1"/>
    </font>
    <font>
      <sz val="10"/>
      <name val="Arial"/>
      <family val="0"/>
    </font>
    <font>
      <sz val="10"/>
      <name val="Arial"/>
      <family val="0"/>
    </font>
    <font>
      <sz val="10"/>
      <name val="Arial"/>
      <family val="0"/>
    </font>
    <font>
      <b val="true"/>
      <sz val="14"/>
      <color rgb="FF1F4E5A"/>
      <name val="Arial"/>
      <family val="0"/>
      <charset val="1"/>
    </font>
    <font>
      <i val="true"/>
      <sz val="10"/>
      <color rgb="FF555555"/>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u val="single"/>
      <sz val="10"/>
      <color rgb="FF0563C1"/>
      <name val="Arial"/>
      <family val="0"/>
      <charset val="1"/>
    </font>
    <font>
      <sz val="10"/>
      <name val="Arial"/>
      <family val="2"/>
    </font>
  </fonts>
  <fills count="4">
    <fill>
      <patternFill patternType="none"/>
    </fill>
    <fill>
      <patternFill patternType="gray125"/>
    </fill>
    <fill>
      <patternFill patternType="solid">
        <fgColor rgb="FF1F4E5A"/>
        <bgColor rgb="FF003366"/>
      </patternFill>
    </fill>
    <fill>
      <patternFill patternType="solid">
        <fgColor rgb="FFFFF9DB"/>
        <bgColor rgb="FFFFFFFF"/>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8" fontId="13"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70" fontId="13"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FF9DB"/>
      <rgbColor rgb="FFCCFFFF"/>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555555"/>
      <rgbColor rgb="FF1F4E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Disclosure score (out of 100)</a:t>
            </a:r>
          </a:p>
        </c:rich>
      </c:tx>
      <c:overlay val="0"/>
      <c:spPr>
        <a:noFill/>
        <a:ln w="0">
          <a:noFill/>
        </a:ln>
      </c:spPr>
    </c:title>
    <c:autoTitleDeleted val="0"/>
    <c:plotArea>
      <c:barChart>
        <c:barDir val="bar"/>
        <c:grouping val="clustered"/>
        <c:varyColors val="0"/>
        <c:ser>
          <c:idx val="0"/>
          <c:order val="0"/>
          <c:tx>
            <c:strRef>
              <c:f>Scores!L4</c:f>
              <c:strCache>
                <c:ptCount val="1"/>
                <c:pt idx="0">
                  <c:v>Total (/100)</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Scores!$A$5:$A$14</c:f>
              <c:strCache>
                <c:ptCount val="10"/>
                <c:pt idx="0">
                  <c:v>Reliance Industries</c:v>
                </c:pt>
                <c:pt idx="1">
                  <c:v>Tata Consultancy Services</c:v>
                </c:pt>
                <c:pt idx="2">
                  <c:v>Infosys</c:v>
                </c:pt>
                <c:pt idx="3">
                  <c:v>HDFC Bank</c:v>
                </c:pt>
                <c:pt idx="4">
                  <c:v>ITC</c:v>
                </c:pt>
                <c:pt idx="5">
                  <c:v>NTPC</c:v>
                </c:pt>
                <c:pt idx="6">
                  <c:v>UltraTech Cement</c:v>
                </c:pt>
                <c:pt idx="7">
                  <c:v>Larsen &amp; Toubro</c:v>
                </c:pt>
                <c:pt idx="8">
                  <c:v>Mahindra &amp; Mahindra</c:v>
                </c:pt>
                <c:pt idx="9">
                  <c:v>Tata Steel</c:v>
                </c:pt>
              </c:strCache>
            </c:strRef>
          </c:cat>
          <c:val>
            <c:numRef>
              <c:f>Scores!$L$5:$L$14</c:f>
              <c:numCache>
                <c:formatCode>General</c:formatCode>
                <c:ptCount val="10"/>
                <c:pt idx="0">
                  <c:v>84</c:v>
                </c:pt>
                <c:pt idx="1">
                  <c:v>100</c:v>
                </c:pt>
                <c:pt idx="2">
                  <c:v>80</c:v>
                </c:pt>
                <c:pt idx="3">
                  <c:v>85</c:v>
                </c:pt>
                <c:pt idx="4">
                  <c:v>80</c:v>
                </c:pt>
                <c:pt idx="5">
                  <c:v>54</c:v>
                </c:pt>
                <c:pt idx="6">
                  <c:v>64</c:v>
                </c:pt>
                <c:pt idx="7">
                  <c:v>60</c:v>
                </c:pt>
                <c:pt idx="8">
                  <c:v>79</c:v>
                </c:pt>
                <c:pt idx="9">
                  <c:v>74</c:v>
                </c:pt>
              </c:numCache>
            </c:numRef>
          </c:val>
        </c:ser>
        <c:gapWidth val="150"/>
        <c:overlap val="0"/>
        <c:axId val="32142194"/>
        <c:axId val="69468937"/>
      </c:barChart>
      <c:catAx>
        <c:axId val="321421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468937"/>
        <c:crosses val="autoZero"/>
        <c:auto val="1"/>
        <c:lblAlgn val="ctr"/>
        <c:lblOffset val="100"/>
        <c:noMultiLvlLbl val="0"/>
      </c:catAx>
      <c:valAx>
        <c:axId val="69468937"/>
        <c:scaling>
          <c:orientation val="minMax"/>
          <c:max val="100"/>
          <c:min val="0"/>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Score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4219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48240</xdr:rowOff>
    </xdr:from>
    <xdr:to>
      <xdr:col>5</xdr:col>
      <xdr:colOff>558720</xdr:colOff>
      <xdr:row>35</xdr:row>
      <xdr:rowOff>49320</xdr:rowOff>
    </xdr:to>
    <xdr:graphicFrame>
      <xdr:nvGraphicFramePr>
        <xdr:cNvPr id="0" name="Chart 1"/>
        <xdr:cNvGraphicFramePr/>
      </xdr:nvGraphicFramePr>
      <xdr:xfrm>
        <a:off x="0" y="38289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www.ril.com/sites/default/files/reports/BRSR202526.pdf" TargetMode="External"/><Relationship Id="rId3" Type="http://schemas.openxmlformats.org/officeDocument/2006/relationships/hyperlink" Target="https://nsearchives.nseindia.com/corporate/TCS_CORPCS_15052026234943_BRSR_signed.pdf" TargetMode="External"/><Relationship Id="rId4" Type="http://schemas.openxmlformats.org/officeDocument/2006/relationships/hyperlink" Target="https://www.infosys.com/investors/reports-filings/annual-report/annual/documents/2025-26/business-responsibility-and-sustainability-report.pdf" TargetMode="External"/><Relationship Id="rId5" Type="http://schemas.openxmlformats.org/officeDocument/2006/relationships/hyperlink" Target="https://www.hdfc.bank.in/content/dam/hdfcbankpws/in/en/personal-banking/about-us/stakeholders-information/disclosures/other-stock-exchange-disclosure/2026/july/BRSR-2025-26.pdf" TargetMode="External"/><Relationship Id="rId6" Type="http://schemas.openxmlformats.org/officeDocument/2006/relationships/hyperlink" Target="https://itcportal.com/content/dam/itc-corporate/investors/annual-report-2026/itc-r-and-a-brsr-2026.pdf" TargetMode="External"/><Relationship Id="rId7" Type="http://schemas.openxmlformats.org/officeDocument/2006/relationships/hyperlink" Target="https://nsearchives.nseindia.com/corporate/NTPC_04082026185539_20260804_STEX_INTIMATIONBRSR_Signed.pdf" TargetMode="External"/><Relationship Id="rId8" Type="http://schemas.openxmlformats.org/officeDocument/2006/relationships/hyperlink" Target="https://nsearchives.nseindia.com/corporate/ULTRACEMCO1_24072026121558_BRSR_2026_SE_Intimation.pdf" TargetMode="External"/><Relationship Id="rId9" Type="http://schemas.openxmlformats.org/officeDocument/2006/relationships/hyperlink" Target="https://investors.larsentoubro.com/pdf/2026/Business%20Responsibility%20and%20Sustainability%20Reporting%202025-26.pdf" TargetMode="External"/><Relationship Id="rId10" Type="http://schemas.openxmlformats.org/officeDocument/2006/relationships/hyperlink" Target="https://www.mahindra.com/sites/default/files/2026-07/Business%20Responsibility%20and%20Sustainability%20Report%202025-26.pdf" TargetMode="External"/><Relationship Id="rId11" Type="http://schemas.openxmlformats.org/officeDocument/2006/relationships/hyperlink" Target="https://www.tatasteel.com/media/25901/brsr.pdf" TargetMode="External"/><Relationship Id="rId1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35.0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15" hidden="false" customHeight="false" outlineLevel="0" collapsed="false">
      <c r="A8" s="3" t="s">
        <v>5</v>
      </c>
    </row>
    <row r="9" customFormat="false" ht="15" hidden="false" customHeight="false" outlineLevel="0" collapsed="false">
      <c r="A9" s="3" t="s">
        <v>6</v>
      </c>
    </row>
    <row r="10" customFormat="false" ht="15" hidden="false" customHeight="false" outlineLevel="0" collapsed="false">
      <c r="A10" s="3" t="s">
        <v>7</v>
      </c>
    </row>
    <row r="11" customFormat="false" ht="15" hidden="false" customHeight="false" outlineLevel="0" collapsed="false">
      <c r="A11" s="3" t="s">
        <v>8</v>
      </c>
    </row>
    <row r="12" customFormat="false" ht="15" hidden="false" customHeight="false" outlineLevel="0" collapsed="false">
      <c r="A12" s="3"/>
    </row>
    <row r="13" customFormat="false" ht="15" hidden="false" customHeight="false" outlineLevel="0" collapsed="false">
      <c r="A13" s="4" t="s">
        <v>9</v>
      </c>
    </row>
    <row r="14" customFormat="false" ht="23.85" hidden="false" customHeight="false" outlineLevel="0" collapsed="false">
      <c r="A14" s="3" t="s">
        <v>10</v>
      </c>
    </row>
    <row r="15" customFormat="false" ht="23.85" hidden="false" customHeight="false" outlineLevel="0" collapsed="false">
      <c r="A15" s="3" t="s">
        <v>11</v>
      </c>
    </row>
    <row r="16" customFormat="false" ht="23.85" hidden="false" customHeight="false" outlineLevel="0" collapsed="false">
      <c r="A16" s="3" t="s">
        <v>12</v>
      </c>
    </row>
    <row r="17" customFormat="false" ht="15" hidden="false" customHeight="false" outlineLevel="0" collapsed="false">
      <c r="A17" s="3" t="s">
        <v>13</v>
      </c>
    </row>
    <row r="18" customFormat="false" ht="15" hidden="false" customHeight="false" outlineLevel="0" collapsed="false">
      <c r="A18" s="3"/>
    </row>
    <row r="19" customFormat="false" ht="15" hidden="false" customHeight="false" outlineLevel="0" collapsed="false">
      <c r="A19" s="4" t="s">
        <v>14</v>
      </c>
    </row>
    <row r="20" customFormat="false" ht="35.05" hidden="false" customHeight="false" outlineLevel="0" collapsed="false">
      <c r="A20" s="3" t="s">
        <v>15</v>
      </c>
    </row>
    <row r="21" customFormat="false" ht="15" hidden="false" customHeight="false" outlineLevel="0" collapsed="false">
      <c r="A21" s="3" t="s">
        <v>16</v>
      </c>
    </row>
    <row r="22" customFormat="false" ht="15" hidden="false" customHeight="false" outlineLevel="0" collapsed="false">
      <c r="A22" s="3"/>
    </row>
    <row r="23" customFormat="false" ht="15" hidden="false" customHeight="false" outlineLevel="0" collapsed="false">
      <c r="A23"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12" min="3" style="0" width="12"/>
    <col collapsed="false" customWidth="true" hidden="false" outlineLevel="0" max="14" min="13" style="0" width="8"/>
  </cols>
  <sheetData>
    <row r="1" customFormat="false" ht="17.35" hidden="false" customHeight="false" outlineLevel="0" collapsed="false">
      <c r="A1" s="5" t="s">
        <v>18</v>
      </c>
    </row>
    <row r="2" customFormat="false" ht="15" hidden="false" customHeight="false" outlineLevel="0" collapsed="false">
      <c r="A2" s="6" t="s">
        <v>19</v>
      </c>
    </row>
    <row r="4" customFormat="false" ht="31.5" hidden="false" customHeight="true" outlineLevel="0" collapsed="false">
      <c r="A4" s="7" t="s">
        <v>20</v>
      </c>
      <c r="B4" s="7" t="s">
        <v>21</v>
      </c>
      <c r="C4" s="7" t="s">
        <v>22</v>
      </c>
      <c r="D4" s="7" t="s">
        <v>23</v>
      </c>
      <c r="E4" s="7" t="s">
        <v>24</v>
      </c>
      <c r="F4" s="7" t="s">
        <v>25</v>
      </c>
      <c r="G4" s="7" t="s">
        <v>26</v>
      </c>
      <c r="H4" s="7" t="s">
        <v>27</v>
      </c>
      <c r="I4" s="7" t="s">
        <v>28</v>
      </c>
      <c r="J4" s="7" t="s">
        <v>29</v>
      </c>
      <c r="K4" s="7" t="s">
        <v>30</v>
      </c>
      <c r="L4" s="7" t="s">
        <v>31</v>
      </c>
      <c r="M4" s="7" t="s">
        <v>32</v>
      </c>
      <c r="N4" s="7" t="s">
        <v>33</v>
      </c>
    </row>
    <row r="5" customFormat="false" ht="15" hidden="false" customHeight="false" outlineLevel="0" collapsed="false">
      <c r="A5" s="8" t="str">
        <f aca="false">Assessment!A2</f>
        <v>Reliance Industries</v>
      </c>
      <c r="B5" s="9" t="s">
        <v>34</v>
      </c>
      <c r="C5" s="10" t="n">
        <f aca="false">SUMIFS(Rubric!$C$2:$C$30,Rubric!$A$2:$A$30,"Absolute Scope 1 &amp; 2",Rubric!$B$2:$B$30,Assessment!B2)</f>
        <v>15</v>
      </c>
      <c r="D5" s="10" t="n">
        <f aca="false">SUMIFS(Rubric!$C$2:$C$30,Rubric!$A$2:$A$30,"Gas-wise breakdown",Rubric!$B$2:$B$30,Assessment!C2)</f>
        <v>10</v>
      </c>
      <c r="E5" s="10" t="n">
        <f aca="false">SUMIFS(Rubric!$C$2:$C$30,Rubric!$A$2:$A$30,"Intensity metrics",Rubric!$B$2:$B$30,Assessment!D2)</f>
        <v>15</v>
      </c>
      <c r="F5" s="10" t="n">
        <f aca="false">SUMIFS(Rubric!$C$2:$C$30,Rubric!$A$2:$A$30,"Scope 2 method",Rubric!$B$2:$B$30,Assessment!E2)</f>
        <v>10</v>
      </c>
      <c r="G5" s="10" t="n">
        <f aca="false">SUMIFS(Rubric!$C$2:$C$30,Rubric!$A$2:$A$30,"Methodology &amp; factors",Rubric!$B$2:$B$30,Assessment!F2)</f>
        <v>10</v>
      </c>
      <c r="H5" s="10" t="n">
        <f aca="false">SUMIFS(Rubric!$C$2:$C$30,Rubric!$A$2:$A$30,"External assurance",Rubric!$B$2:$B$30,Assessment!G2)</f>
        <v>15</v>
      </c>
      <c r="I5" s="10" t="n">
        <f aca="false">SUMIFS(Rubric!$C$2:$C$30,Rubric!$A$2:$A$30,"Boundary clarity",Rubric!$B$2:$B$30,Assessment!H2)</f>
        <v>3</v>
      </c>
      <c r="J5" s="10" t="n">
        <f aca="false">SUMIFS(Rubric!$C$2:$C$30,Rubric!$A$2:$A$30,"Scope 3 (leadership)",Rubric!$B$2:$B$30,Assessment!I2)</f>
        <v>0</v>
      </c>
      <c r="K5" s="10" t="n">
        <f aca="false">SUMIFS(Rubric!$C$2:$C$30,Rubric!$A$2:$A$30,"Reduction target",Rubric!$B$2:$B$30,Assessment!J2)</f>
        <v>6</v>
      </c>
      <c r="L5" s="11" t="n">
        <f aca="false">SUM(C5:K5)</f>
        <v>84</v>
      </c>
      <c r="M5" s="10" t="n">
        <f aca="false">RANK(L5,$L$5:$L$14)</f>
        <v>3</v>
      </c>
      <c r="N5" s="12" t="str">
        <f aca="false">IF(L5&gt;=85,"A",IF(L5&gt;=70,"B",IF(L5&gt;=55,"C","D")))</f>
        <v>B</v>
      </c>
    </row>
    <row r="6" customFormat="false" ht="15" hidden="false" customHeight="false" outlineLevel="0" collapsed="false">
      <c r="A6" s="8" t="str">
        <f aca="false">Assessment!A3</f>
        <v>Tata Consultancy Services</v>
      </c>
      <c r="B6" s="9" t="s">
        <v>35</v>
      </c>
      <c r="C6" s="10" t="n">
        <f aca="false">SUMIFS(Rubric!$C$2:$C$30,Rubric!$A$2:$A$30,"Absolute Scope 1 &amp; 2",Rubric!$B$2:$B$30,Assessment!B3)</f>
        <v>15</v>
      </c>
      <c r="D6" s="10" t="n">
        <f aca="false">SUMIFS(Rubric!$C$2:$C$30,Rubric!$A$2:$A$30,"Gas-wise breakdown",Rubric!$B$2:$B$30,Assessment!C3)</f>
        <v>10</v>
      </c>
      <c r="E6" s="10" t="n">
        <f aca="false">SUMIFS(Rubric!$C$2:$C$30,Rubric!$A$2:$A$30,"Intensity metrics",Rubric!$B$2:$B$30,Assessment!D3)</f>
        <v>15</v>
      </c>
      <c r="F6" s="10" t="n">
        <f aca="false">SUMIFS(Rubric!$C$2:$C$30,Rubric!$A$2:$A$30,"Scope 2 method",Rubric!$B$2:$B$30,Assessment!E3)</f>
        <v>10</v>
      </c>
      <c r="G6" s="10" t="n">
        <f aca="false">SUMIFS(Rubric!$C$2:$C$30,Rubric!$A$2:$A$30,"Methodology &amp; factors",Rubric!$B$2:$B$30,Assessment!F3)</f>
        <v>10</v>
      </c>
      <c r="H6" s="10" t="n">
        <f aca="false">SUMIFS(Rubric!$C$2:$C$30,Rubric!$A$2:$A$30,"External assurance",Rubric!$B$2:$B$30,Assessment!G3)</f>
        <v>15</v>
      </c>
      <c r="I6" s="10" t="n">
        <f aca="false">SUMIFS(Rubric!$C$2:$C$30,Rubric!$A$2:$A$30,"Boundary clarity",Rubric!$B$2:$B$30,Assessment!H3)</f>
        <v>5</v>
      </c>
      <c r="J6" s="10" t="n">
        <f aca="false">SUMIFS(Rubric!$C$2:$C$30,Rubric!$A$2:$A$30,"Scope 3 (leadership)",Rubric!$B$2:$B$30,Assessment!I3)</f>
        <v>10</v>
      </c>
      <c r="K6" s="10" t="n">
        <f aca="false">SUMIFS(Rubric!$C$2:$C$30,Rubric!$A$2:$A$30,"Reduction target",Rubric!$B$2:$B$30,Assessment!J3)</f>
        <v>10</v>
      </c>
      <c r="L6" s="11" t="n">
        <f aca="false">SUM(C6:K6)</f>
        <v>100</v>
      </c>
      <c r="M6" s="10" t="n">
        <f aca="false">RANK(L6,$L$5:$L$14)</f>
        <v>1</v>
      </c>
      <c r="N6" s="12" t="str">
        <f aca="false">IF(L6&gt;=85,"A",IF(L6&gt;=70,"B",IF(L6&gt;=55,"C","D")))</f>
        <v>A</v>
      </c>
    </row>
    <row r="7" customFormat="false" ht="15" hidden="false" customHeight="false" outlineLevel="0" collapsed="false">
      <c r="A7" s="8" t="str">
        <f aca="false">Assessment!A4</f>
        <v>Infosys</v>
      </c>
      <c r="B7" s="9" t="s">
        <v>35</v>
      </c>
      <c r="C7" s="10" t="n">
        <f aca="false">SUMIFS(Rubric!$C$2:$C$30,Rubric!$A$2:$A$30,"Absolute Scope 1 &amp; 2",Rubric!$B$2:$B$30,Assessment!B4)</f>
        <v>15</v>
      </c>
      <c r="D7" s="10" t="n">
        <f aca="false">SUMIFS(Rubric!$C$2:$C$30,Rubric!$A$2:$A$30,"Gas-wise breakdown",Rubric!$B$2:$B$30,Assessment!C4)</f>
        <v>0</v>
      </c>
      <c r="E7" s="10" t="n">
        <f aca="false">SUMIFS(Rubric!$C$2:$C$30,Rubric!$A$2:$A$30,"Intensity metrics",Rubric!$B$2:$B$30,Assessment!D4)</f>
        <v>15</v>
      </c>
      <c r="F7" s="10" t="n">
        <f aca="false">SUMIFS(Rubric!$C$2:$C$30,Rubric!$A$2:$A$30,"Scope 2 method",Rubric!$B$2:$B$30,Assessment!E4)</f>
        <v>10</v>
      </c>
      <c r="G7" s="10" t="n">
        <f aca="false">SUMIFS(Rubric!$C$2:$C$30,Rubric!$A$2:$A$30,"Methodology &amp; factors",Rubric!$B$2:$B$30,Assessment!F4)</f>
        <v>10</v>
      </c>
      <c r="H7" s="10" t="n">
        <f aca="false">SUMIFS(Rubric!$C$2:$C$30,Rubric!$A$2:$A$30,"External assurance",Rubric!$B$2:$B$30,Assessment!G4)</f>
        <v>15</v>
      </c>
      <c r="I7" s="10" t="n">
        <f aca="false">SUMIFS(Rubric!$C$2:$C$30,Rubric!$A$2:$A$30,"Boundary clarity",Rubric!$B$2:$B$30,Assessment!H4)</f>
        <v>3</v>
      </c>
      <c r="J7" s="10" t="n">
        <f aca="false">SUMIFS(Rubric!$C$2:$C$30,Rubric!$A$2:$A$30,"Scope 3 (leadership)",Rubric!$B$2:$B$30,Assessment!I4)</f>
        <v>6</v>
      </c>
      <c r="K7" s="10" t="n">
        <f aca="false">SUMIFS(Rubric!$C$2:$C$30,Rubric!$A$2:$A$30,"Reduction target",Rubric!$B$2:$B$30,Assessment!J4)</f>
        <v>6</v>
      </c>
      <c r="L7" s="11" t="n">
        <f aca="false">SUM(C7:K7)</f>
        <v>80</v>
      </c>
      <c r="M7" s="10" t="n">
        <f aca="false">RANK(L7,$L$5:$L$14)</f>
        <v>4</v>
      </c>
      <c r="N7" s="12" t="str">
        <f aca="false">IF(L7&gt;=85,"A",IF(L7&gt;=70,"B",IF(L7&gt;=55,"C","D")))</f>
        <v>B</v>
      </c>
    </row>
    <row r="8" customFormat="false" ht="15" hidden="false" customHeight="false" outlineLevel="0" collapsed="false">
      <c r="A8" s="8" t="str">
        <f aca="false">Assessment!A5</f>
        <v>HDFC Bank</v>
      </c>
      <c r="B8" s="9" t="s">
        <v>36</v>
      </c>
      <c r="C8" s="10" t="n">
        <f aca="false">SUMIFS(Rubric!$C$2:$C$30,Rubric!$A$2:$A$30,"Absolute Scope 1 &amp; 2",Rubric!$B$2:$B$30,Assessment!B5)</f>
        <v>15</v>
      </c>
      <c r="D8" s="10" t="n">
        <f aca="false">SUMIFS(Rubric!$C$2:$C$30,Rubric!$A$2:$A$30,"Gas-wise breakdown",Rubric!$B$2:$B$30,Assessment!C5)</f>
        <v>10</v>
      </c>
      <c r="E8" s="10" t="n">
        <f aca="false">SUMIFS(Rubric!$C$2:$C$30,Rubric!$A$2:$A$30,"Intensity metrics",Rubric!$B$2:$B$30,Assessment!D5)</f>
        <v>15</v>
      </c>
      <c r="F8" s="10" t="n">
        <f aca="false">SUMIFS(Rubric!$C$2:$C$30,Rubric!$A$2:$A$30,"Scope 2 method",Rubric!$B$2:$B$30,Assessment!E5)</f>
        <v>5</v>
      </c>
      <c r="G8" s="10" t="n">
        <f aca="false">SUMIFS(Rubric!$C$2:$C$30,Rubric!$A$2:$A$30,"Methodology &amp; factors",Rubric!$B$2:$B$30,Assessment!F5)</f>
        <v>10</v>
      </c>
      <c r="H8" s="10" t="n">
        <f aca="false">SUMIFS(Rubric!$C$2:$C$30,Rubric!$A$2:$A$30,"External assurance",Rubric!$B$2:$B$30,Assessment!G5)</f>
        <v>15</v>
      </c>
      <c r="I8" s="10" t="n">
        <f aca="false">SUMIFS(Rubric!$C$2:$C$30,Rubric!$A$2:$A$30,"Boundary clarity",Rubric!$B$2:$B$30,Assessment!H5)</f>
        <v>3</v>
      </c>
      <c r="J8" s="10" t="n">
        <f aca="false">SUMIFS(Rubric!$C$2:$C$30,Rubric!$A$2:$A$30,"Scope 3 (leadership)",Rubric!$B$2:$B$30,Assessment!I5)</f>
        <v>6</v>
      </c>
      <c r="K8" s="10" t="n">
        <f aca="false">SUMIFS(Rubric!$C$2:$C$30,Rubric!$A$2:$A$30,"Reduction target",Rubric!$B$2:$B$30,Assessment!J5)</f>
        <v>6</v>
      </c>
      <c r="L8" s="11" t="n">
        <f aca="false">SUM(C8:K8)</f>
        <v>85</v>
      </c>
      <c r="M8" s="10" t="n">
        <f aca="false">RANK(L8,$L$5:$L$14)</f>
        <v>2</v>
      </c>
      <c r="N8" s="12" t="str">
        <f aca="false">IF(L8&gt;=85,"A",IF(L8&gt;=70,"B",IF(L8&gt;=55,"C","D")))</f>
        <v>A</v>
      </c>
    </row>
    <row r="9" customFormat="false" ht="15" hidden="false" customHeight="false" outlineLevel="0" collapsed="false">
      <c r="A9" s="8" t="str">
        <f aca="false">Assessment!A6</f>
        <v>ITC</v>
      </c>
      <c r="B9" s="9" t="s">
        <v>37</v>
      </c>
      <c r="C9" s="10" t="n">
        <f aca="false">SUMIFS(Rubric!$C$2:$C$30,Rubric!$A$2:$A$30,"Absolute Scope 1 &amp; 2",Rubric!$B$2:$B$30,Assessment!B6)</f>
        <v>15</v>
      </c>
      <c r="D9" s="10" t="n">
        <f aca="false">SUMIFS(Rubric!$C$2:$C$30,Rubric!$A$2:$A$30,"Gas-wise breakdown",Rubric!$B$2:$B$30,Assessment!C6)</f>
        <v>0</v>
      </c>
      <c r="E9" s="10" t="n">
        <f aca="false">SUMIFS(Rubric!$C$2:$C$30,Rubric!$A$2:$A$30,"Intensity metrics",Rubric!$B$2:$B$30,Assessment!D6)</f>
        <v>15</v>
      </c>
      <c r="F9" s="10" t="n">
        <f aca="false">SUMIFS(Rubric!$C$2:$C$30,Rubric!$A$2:$A$30,"Scope 2 method",Rubric!$B$2:$B$30,Assessment!E6)</f>
        <v>10</v>
      </c>
      <c r="G9" s="10" t="n">
        <f aca="false">SUMIFS(Rubric!$C$2:$C$30,Rubric!$A$2:$A$30,"Methodology &amp; factors",Rubric!$B$2:$B$30,Assessment!F6)</f>
        <v>10</v>
      </c>
      <c r="H9" s="10" t="n">
        <f aca="false">SUMIFS(Rubric!$C$2:$C$30,Rubric!$A$2:$A$30,"External assurance",Rubric!$B$2:$B$30,Assessment!G6)</f>
        <v>15</v>
      </c>
      <c r="I9" s="10" t="n">
        <f aca="false">SUMIFS(Rubric!$C$2:$C$30,Rubric!$A$2:$A$30,"Boundary clarity",Rubric!$B$2:$B$30,Assessment!H6)</f>
        <v>3</v>
      </c>
      <c r="J9" s="10" t="n">
        <f aca="false">SUMIFS(Rubric!$C$2:$C$30,Rubric!$A$2:$A$30,"Scope 3 (leadership)",Rubric!$B$2:$B$30,Assessment!I6)</f>
        <v>6</v>
      </c>
      <c r="K9" s="10" t="n">
        <f aca="false">SUMIFS(Rubric!$C$2:$C$30,Rubric!$A$2:$A$30,"Reduction target",Rubric!$B$2:$B$30,Assessment!J6)</f>
        <v>6</v>
      </c>
      <c r="L9" s="11" t="n">
        <f aca="false">SUM(C9:K9)</f>
        <v>80</v>
      </c>
      <c r="M9" s="10" t="n">
        <f aca="false">RANK(L9,$L$5:$L$14)</f>
        <v>4</v>
      </c>
      <c r="N9" s="12" t="str">
        <f aca="false">IF(L9&gt;=85,"A",IF(L9&gt;=70,"B",IF(L9&gt;=55,"C","D")))</f>
        <v>B</v>
      </c>
    </row>
    <row r="10" customFormat="false" ht="15" hidden="false" customHeight="false" outlineLevel="0" collapsed="false">
      <c r="A10" s="8" t="str">
        <f aca="false">Assessment!A7</f>
        <v>NTPC</v>
      </c>
      <c r="B10" s="9" t="s">
        <v>38</v>
      </c>
      <c r="C10" s="10" t="n">
        <f aca="false">SUMIFS(Rubric!$C$2:$C$30,Rubric!$A$2:$A$30,"Absolute Scope 1 &amp; 2",Rubric!$B$2:$B$30,Assessment!B7)</f>
        <v>15</v>
      </c>
      <c r="D10" s="10" t="n">
        <f aca="false">SUMIFS(Rubric!$C$2:$C$30,Rubric!$A$2:$A$30,"Gas-wise breakdown",Rubric!$B$2:$B$30,Assessment!C7)</f>
        <v>0</v>
      </c>
      <c r="E10" s="10" t="n">
        <f aca="false">SUMIFS(Rubric!$C$2:$C$30,Rubric!$A$2:$A$30,"Intensity metrics",Rubric!$B$2:$B$30,Assessment!D7)</f>
        <v>15</v>
      </c>
      <c r="F10" s="10" t="n">
        <f aca="false">SUMIFS(Rubric!$C$2:$C$30,Rubric!$A$2:$A$30,"Scope 2 method",Rubric!$B$2:$B$30,Assessment!E7)</f>
        <v>0</v>
      </c>
      <c r="G10" s="10" t="n">
        <f aca="false">SUMIFS(Rubric!$C$2:$C$30,Rubric!$A$2:$A$30,"Methodology &amp; factors",Rubric!$B$2:$B$30,Assessment!F7)</f>
        <v>0</v>
      </c>
      <c r="H10" s="10" t="n">
        <f aca="false">SUMIFS(Rubric!$C$2:$C$30,Rubric!$A$2:$A$30,"External assurance",Rubric!$B$2:$B$30,Assessment!G7)</f>
        <v>15</v>
      </c>
      <c r="I10" s="10" t="n">
        <f aca="false">SUMIFS(Rubric!$C$2:$C$30,Rubric!$A$2:$A$30,"Boundary clarity",Rubric!$B$2:$B$30,Assessment!H7)</f>
        <v>3</v>
      </c>
      <c r="J10" s="10" t="n">
        <f aca="false">SUMIFS(Rubric!$C$2:$C$30,Rubric!$A$2:$A$30,"Scope 3 (leadership)",Rubric!$B$2:$B$30,Assessment!I7)</f>
        <v>6</v>
      </c>
      <c r="K10" s="10" t="n">
        <f aca="false">SUMIFS(Rubric!$C$2:$C$30,Rubric!$A$2:$A$30,"Reduction target",Rubric!$B$2:$B$30,Assessment!J7)</f>
        <v>0</v>
      </c>
      <c r="L10" s="11" t="n">
        <f aca="false">SUM(C10:K10)</f>
        <v>54</v>
      </c>
      <c r="M10" s="10" t="n">
        <f aca="false">RANK(L10,$L$5:$L$14)</f>
        <v>10</v>
      </c>
      <c r="N10" s="12" t="str">
        <f aca="false">IF(L10&gt;=85,"A",IF(L10&gt;=70,"B",IF(L10&gt;=55,"C","D")))</f>
        <v>D</v>
      </c>
    </row>
    <row r="11" customFormat="false" ht="15" hidden="false" customHeight="false" outlineLevel="0" collapsed="false">
      <c r="A11" s="8" t="str">
        <f aca="false">Assessment!A8</f>
        <v>UltraTech Cement</v>
      </c>
      <c r="B11" s="9" t="s">
        <v>39</v>
      </c>
      <c r="C11" s="10" t="n">
        <f aca="false">SUMIFS(Rubric!$C$2:$C$30,Rubric!$A$2:$A$30,"Absolute Scope 1 &amp; 2",Rubric!$B$2:$B$30,Assessment!B8)</f>
        <v>15</v>
      </c>
      <c r="D11" s="10" t="n">
        <f aca="false">SUMIFS(Rubric!$C$2:$C$30,Rubric!$A$2:$A$30,"Gas-wise breakdown",Rubric!$B$2:$B$30,Assessment!C8)</f>
        <v>0</v>
      </c>
      <c r="E11" s="10" t="n">
        <f aca="false">SUMIFS(Rubric!$C$2:$C$30,Rubric!$A$2:$A$30,"Intensity metrics",Rubric!$B$2:$B$30,Assessment!D8)</f>
        <v>15</v>
      </c>
      <c r="F11" s="10" t="n">
        <f aca="false">SUMIFS(Rubric!$C$2:$C$30,Rubric!$A$2:$A$30,"Scope 2 method",Rubric!$B$2:$B$30,Assessment!E8)</f>
        <v>0</v>
      </c>
      <c r="G11" s="10" t="n">
        <f aca="false">SUMIFS(Rubric!$C$2:$C$30,Rubric!$A$2:$A$30,"Methodology &amp; factors",Rubric!$B$2:$B$30,Assessment!F8)</f>
        <v>0</v>
      </c>
      <c r="H11" s="10" t="n">
        <f aca="false">SUMIFS(Rubric!$C$2:$C$30,Rubric!$A$2:$A$30,"External assurance",Rubric!$B$2:$B$30,Assessment!G8)</f>
        <v>15</v>
      </c>
      <c r="I11" s="10" t="n">
        <f aca="false">SUMIFS(Rubric!$C$2:$C$30,Rubric!$A$2:$A$30,"Boundary clarity",Rubric!$B$2:$B$30,Assessment!H8)</f>
        <v>3</v>
      </c>
      <c r="J11" s="10" t="n">
        <f aca="false">SUMIFS(Rubric!$C$2:$C$30,Rubric!$A$2:$A$30,"Scope 3 (leadership)",Rubric!$B$2:$B$30,Assessment!I8)</f>
        <v>6</v>
      </c>
      <c r="K11" s="10" t="n">
        <f aca="false">SUMIFS(Rubric!$C$2:$C$30,Rubric!$A$2:$A$30,"Reduction target",Rubric!$B$2:$B$30,Assessment!J8)</f>
        <v>10</v>
      </c>
      <c r="L11" s="11" t="n">
        <f aca="false">SUM(C11:K11)</f>
        <v>64</v>
      </c>
      <c r="M11" s="10" t="n">
        <f aca="false">RANK(L11,$L$5:$L$14)</f>
        <v>8</v>
      </c>
      <c r="N11" s="12" t="str">
        <f aca="false">IF(L11&gt;=85,"A",IF(L11&gt;=70,"B",IF(L11&gt;=55,"C","D")))</f>
        <v>C</v>
      </c>
    </row>
    <row r="12" customFormat="false" ht="23.85" hidden="false" customHeight="false" outlineLevel="0" collapsed="false">
      <c r="A12" s="8" t="str">
        <f aca="false">Assessment!A9</f>
        <v>Larsen &amp; Toubro</v>
      </c>
      <c r="B12" s="9" t="s">
        <v>40</v>
      </c>
      <c r="C12" s="10" t="n">
        <f aca="false">SUMIFS(Rubric!$C$2:$C$30,Rubric!$A$2:$A$30,"Absolute Scope 1 &amp; 2",Rubric!$B$2:$B$30,Assessment!B9)</f>
        <v>15</v>
      </c>
      <c r="D12" s="10" t="n">
        <f aca="false">SUMIFS(Rubric!$C$2:$C$30,Rubric!$A$2:$A$30,"Gas-wise breakdown",Rubric!$B$2:$B$30,Assessment!C9)</f>
        <v>0</v>
      </c>
      <c r="E12" s="10" t="n">
        <f aca="false">SUMIFS(Rubric!$C$2:$C$30,Rubric!$A$2:$A$30,"Intensity metrics",Rubric!$B$2:$B$30,Assessment!D9)</f>
        <v>10</v>
      </c>
      <c r="F12" s="10" t="n">
        <f aca="false">SUMIFS(Rubric!$C$2:$C$30,Rubric!$A$2:$A$30,"Scope 2 method",Rubric!$B$2:$B$30,Assessment!E9)</f>
        <v>0</v>
      </c>
      <c r="G12" s="10" t="n">
        <f aca="false">SUMIFS(Rubric!$C$2:$C$30,Rubric!$A$2:$A$30,"Methodology &amp; factors",Rubric!$B$2:$B$30,Assessment!F9)</f>
        <v>5</v>
      </c>
      <c r="H12" s="10" t="n">
        <f aca="false">SUMIFS(Rubric!$C$2:$C$30,Rubric!$A$2:$A$30,"External assurance",Rubric!$B$2:$B$30,Assessment!G9)</f>
        <v>15</v>
      </c>
      <c r="I12" s="10" t="n">
        <f aca="false">SUMIFS(Rubric!$C$2:$C$30,Rubric!$A$2:$A$30,"Boundary clarity",Rubric!$B$2:$B$30,Assessment!H9)</f>
        <v>3</v>
      </c>
      <c r="J12" s="10" t="n">
        <f aca="false">SUMIFS(Rubric!$C$2:$C$30,Rubric!$A$2:$A$30,"Scope 3 (leadership)",Rubric!$B$2:$B$30,Assessment!I9)</f>
        <v>6</v>
      </c>
      <c r="K12" s="10" t="n">
        <f aca="false">SUMIFS(Rubric!$C$2:$C$30,Rubric!$A$2:$A$30,"Reduction target",Rubric!$B$2:$B$30,Assessment!J9)</f>
        <v>6</v>
      </c>
      <c r="L12" s="11" t="n">
        <f aca="false">SUM(C12:K12)</f>
        <v>60</v>
      </c>
      <c r="M12" s="10" t="n">
        <f aca="false">RANK(L12,$L$5:$L$14)</f>
        <v>9</v>
      </c>
      <c r="N12" s="12" t="str">
        <f aca="false">IF(L12&gt;=85,"A",IF(L12&gt;=70,"B",IF(L12&gt;=55,"C","D")))</f>
        <v>C</v>
      </c>
    </row>
    <row r="13" customFormat="false" ht="15" hidden="false" customHeight="false" outlineLevel="0" collapsed="false">
      <c r="A13" s="8" t="str">
        <f aca="false">Assessment!A10</f>
        <v>Mahindra &amp; Mahindra</v>
      </c>
      <c r="B13" s="9" t="s">
        <v>41</v>
      </c>
      <c r="C13" s="10" t="n">
        <f aca="false">SUMIFS(Rubric!$C$2:$C$30,Rubric!$A$2:$A$30,"Absolute Scope 1 &amp; 2",Rubric!$B$2:$B$30,Assessment!B10)</f>
        <v>15</v>
      </c>
      <c r="D13" s="10" t="n">
        <f aca="false">SUMIFS(Rubric!$C$2:$C$30,Rubric!$A$2:$A$30,"Gas-wise breakdown",Rubric!$B$2:$B$30,Assessment!C10)</f>
        <v>0</v>
      </c>
      <c r="E13" s="10" t="n">
        <f aca="false">SUMIFS(Rubric!$C$2:$C$30,Rubric!$A$2:$A$30,"Intensity metrics",Rubric!$B$2:$B$30,Assessment!D10)</f>
        <v>15</v>
      </c>
      <c r="F13" s="10" t="n">
        <f aca="false">SUMIFS(Rubric!$C$2:$C$30,Rubric!$A$2:$A$30,"Scope 2 method",Rubric!$B$2:$B$30,Assessment!E10)</f>
        <v>5</v>
      </c>
      <c r="G13" s="10" t="n">
        <f aca="false">SUMIFS(Rubric!$C$2:$C$30,Rubric!$A$2:$A$30,"Methodology &amp; factors",Rubric!$B$2:$B$30,Assessment!F10)</f>
        <v>10</v>
      </c>
      <c r="H13" s="10" t="n">
        <f aca="false">SUMIFS(Rubric!$C$2:$C$30,Rubric!$A$2:$A$30,"External assurance",Rubric!$B$2:$B$30,Assessment!G10)</f>
        <v>15</v>
      </c>
      <c r="I13" s="10" t="n">
        <f aca="false">SUMIFS(Rubric!$C$2:$C$30,Rubric!$A$2:$A$30,"Boundary clarity",Rubric!$B$2:$B$30,Assessment!H10)</f>
        <v>3</v>
      </c>
      <c r="J13" s="10" t="n">
        <f aca="false">SUMIFS(Rubric!$C$2:$C$30,Rubric!$A$2:$A$30,"Scope 3 (leadership)",Rubric!$B$2:$B$30,Assessment!I10)</f>
        <v>6</v>
      </c>
      <c r="K13" s="10" t="n">
        <f aca="false">SUMIFS(Rubric!$C$2:$C$30,Rubric!$A$2:$A$30,"Reduction target",Rubric!$B$2:$B$30,Assessment!J10)</f>
        <v>10</v>
      </c>
      <c r="L13" s="11" t="n">
        <f aca="false">SUM(C13:K13)</f>
        <v>79</v>
      </c>
      <c r="M13" s="10" t="n">
        <f aca="false">RANK(L13,$L$5:$L$14)</f>
        <v>6</v>
      </c>
      <c r="N13" s="12" t="str">
        <f aca="false">IF(L13&gt;=85,"A",IF(L13&gt;=70,"B",IF(L13&gt;=55,"C","D")))</f>
        <v>B</v>
      </c>
    </row>
    <row r="14" customFormat="false" ht="15" hidden="false" customHeight="false" outlineLevel="0" collapsed="false">
      <c r="A14" s="8" t="str">
        <f aca="false">Assessment!A11</f>
        <v>Tata Steel</v>
      </c>
      <c r="B14" s="9" t="s">
        <v>42</v>
      </c>
      <c r="C14" s="10" t="n">
        <f aca="false">SUMIFS(Rubric!$C$2:$C$30,Rubric!$A$2:$A$30,"Absolute Scope 1 &amp; 2",Rubric!$B$2:$B$30,Assessment!B11)</f>
        <v>12</v>
      </c>
      <c r="D14" s="10" t="n">
        <f aca="false">SUMIFS(Rubric!$C$2:$C$30,Rubric!$A$2:$A$30,"Gas-wise breakdown",Rubric!$B$2:$B$30,Assessment!C11)</f>
        <v>0</v>
      </c>
      <c r="E14" s="10" t="n">
        <f aca="false">SUMIFS(Rubric!$C$2:$C$30,Rubric!$A$2:$A$30,"Intensity metrics",Rubric!$B$2:$B$30,Assessment!D11)</f>
        <v>15</v>
      </c>
      <c r="F14" s="10" t="n">
        <f aca="false">SUMIFS(Rubric!$C$2:$C$30,Rubric!$A$2:$A$30,"Scope 2 method",Rubric!$B$2:$B$30,Assessment!E11)</f>
        <v>5</v>
      </c>
      <c r="G14" s="10" t="n">
        <f aca="false">SUMIFS(Rubric!$C$2:$C$30,Rubric!$A$2:$A$30,"Methodology &amp; factors",Rubric!$B$2:$B$30,Assessment!F11)</f>
        <v>10</v>
      </c>
      <c r="H14" s="10" t="n">
        <f aca="false">SUMIFS(Rubric!$C$2:$C$30,Rubric!$A$2:$A$30,"External assurance",Rubric!$B$2:$B$30,Assessment!G11)</f>
        <v>15</v>
      </c>
      <c r="I14" s="10" t="n">
        <f aca="false">SUMIFS(Rubric!$C$2:$C$30,Rubric!$A$2:$A$30,"Boundary clarity",Rubric!$B$2:$B$30,Assessment!H11)</f>
        <v>5</v>
      </c>
      <c r="J14" s="10" t="n">
        <f aca="false">SUMIFS(Rubric!$C$2:$C$30,Rubric!$A$2:$A$30,"Scope 3 (leadership)",Rubric!$B$2:$B$30,Assessment!I11)</f>
        <v>6</v>
      </c>
      <c r="K14" s="10" t="n">
        <f aca="false">SUMIFS(Rubric!$C$2:$C$30,Rubric!$A$2:$A$30,"Reduction target",Rubric!$B$2:$B$30,Assessment!J11)</f>
        <v>6</v>
      </c>
      <c r="L14" s="11" t="n">
        <f aca="false">SUM(C14:K14)</f>
        <v>74</v>
      </c>
      <c r="M14" s="10" t="n">
        <f aca="false">RANK(L14,$L$5:$L$14)</f>
        <v>7</v>
      </c>
      <c r="N14" s="12" t="str">
        <f aca="false">IF(L14&gt;=85,"A",IF(L14&gt;=70,"B",IF(L14&gt;=55,"C","D")))</f>
        <v>B</v>
      </c>
    </row>
    <row r="15" customFormat="false" ht="15" hidden="false" customHeight="false" outlineLevel="0" collapsed="false">
      <c r="A15" s="13" t="s">
        <v>43</v>
      </c>
      <c r="B15" s="9"/>
      <c r="C15" s="14" t="n">
        <f aca="false">AVERAGE(C5:C14)</f>
        <v>14.7</v>
      </c>
      <c r="D15" s="14" t="n">
        <f aca="false">AVERAGE(D5:D14)</f>
        <v>3</v>
      </c>
      <c r="E15" s="14" t="n">
        <f aca="false">AVERAGE(E5:E14)</f>
        <v>14.5</v>
      </c>
      <c r="F15" s="14" t="n">
        <f aca="false">AVERAGE(F5:F14)</f>
        <v>5.5</v>
      </c>
      <c r="G15" s="14" t="n">
        <f aca="false">AVERAGE(G5:G14)</f>
        <v>7.5</v>
      </c>
      <c r="H15" s="14" t="n">
        <f aca="false">AVERAGE(H5:H14)</f>
        <v>15</v>
      </c>
      <c r="I15" s="14" t="n">
        <f aca="false">AVERAGE(I5:I14)</f>
        <v>3.4</v>
      </c>
      <c r="J15" s="14" t="n">
        <f aca="false">AVERAGE(J5:J14)</f>
        <v>5.8</v>
      </c>
      <c r="K15" s="14" t="n">
        <f aca="false">AVERAGE(K5:K14)</f>
        <v>6.6</v>
      </c>
      <c r="L15" s="14" t="n">
        <f aca="false">AVERAGE(L5:L14)</f>
        <v>76</v>
      </c>
    </row>
    <row r="16" customFormat="false" ht="15" hidden="false" customHeight="false" outlineLevel="0" collapsed="false">
      <c r="A16" s="13" t="s">
        <v>44</v>
      </c>
      <c r="B16" s="9"/>
      <c r="C16" s="10" t="n">
        <f aca="false">SUMIFS(Rubric!$D$2:$D$30,Rubric!$A$2:$A$30,"Absolute Scope 1 &amp; 2")</f>
        <v>15</v>
      </c>
      <c r="D16" s="10" t="n">
        <f aca="false">SUMIFS(Rubric!$D$2:$D$30,Rubric!$A$2:$A$30,"Gas-wise breakdown")</f>
        <v>10</v>
      </c>
      <c r="E16" s="10" t="n">
        <f aca="false">SUMIFS(Rubric!$D$2:$D$30,Rubric!$A$2:$A$30,"Intensity metrics")</f>
        <v>15</v>
      </c>
      <c r="F16" s="10" t="n">
        <f aca="false">SUMIFS(Rubric!$D$2:$D$30,Rubric!$A$2:$A$30,"Scope 2 method")</f>
        <v>10</v>
      </c>
      <c r="G16" s="10" t="n">
        <f aca="false">SUMIFS(Rubric!$D$2:$D$30,Rubric!$A$2:$A$30,"Methodology &amp; factors")</f>
        <v>10</v>
      </c>
      <c r="H16" s="10" t="n">
        <f aca="false">SUMIFS(Rubric!$D$2:$D$30,Rubric!$A$2:$A$30,"External assurance")</f>
        <v>15</v>
      </c>
      <c r="I16" s="10" t="n">
        <f aca="false">SUMIFS(Rubric!$D$2:$D$30,Rubric!$A$2:$A$30,"Boundary clarity")</f>
        <v>5</v>
      </c>
      <c r="J16" s="10" t="n">
        <f aca="false">SUMIFS(Rubric!$D$2:$D$30,Rubric!$A$2:$A$30,"Scope 3 (leadership)")</f>
        <v>10</v>
      </c>
      <c r="K16" s="10" t="n">
        <f aca="false">SUMIFS(Rubric!$D$2:$D$30,Rubric!$A$2:$A$30,"Reduction target")</f>
        <v>10</v>
      </c>
      <c r="L16" s="10" t="n">
        <f aca="false">Rubric!D32</f>
        <v>100</v>
      </c>
    </row>
    <row r="17" customFormat="false" ht="15" hidden="false" customHeight="false" outlineLevel="0" collapsed="false">
      <c r="A17" s="13" t="s">
        <v>45</v>
      </c>
      <c r="B17" s="9"/>
      <c r="C17" s="15" t="n">
        <f aca="false">IF(C16=0,0,C15/C16)</f>
        <v>0.98</v>
      </c>
      <c r="D17" s="15" t="n">
        <f aca="false">IF(D16=0,0,D15/D16)</f>
        <v>0.3</v>
      </c>
      <c r="E17" s="15" t="n">
        <f aca="false">IF(E16=0,0,E15/E16)</f>
        <v>0.966666666666667</v>
      </c>
      <c r="F17" s="15" t="n">
        <f aca="false">IF(F16=0,0,F15/F16)</f>
        <v>0.55</v>
      </c>
      <c r="G17" s="15" t="n">
        <f aca="false">IF(G16=0,0,G15/G16)</f>
        <v>0.75</v>
      </c>
      <c r="H17" s="15" t="n">
        <f aca="false">IF(H16=0,0,H15/H16)</f>
        <v>1</v>
      </c>
      <c r="I17" s="15" t="n">
        <f aca="false">IF(I16=0,0,I15/I16)</f>
        <v>0.68</v>
      </c>
      <c r="J17" s="15" t="n">
        <f aca="false">IF(J16=0,0,J15/J16)</f>
        <v>0.58</v>
      </c>
      <c r="K17" s="15" t="n">
        <f aca="false">IF(K16=0,0,K15/K16)</f>
        <v>0.66</v>
      </c>
      <c r="L17" s="15" t="n">
        <f aca="false">IF(L16=0,0,L15/L16)</f>
        <v>0.76</v>
      </c>
    </row>
  </sheetData>
  <conditionalFormatting sqref="L5:L14">
    <cfRule type="colorScale" priority="2">
      <colorScale>
        <cfvo type="num" val="40"/>
        <cfvo type="num" val="70"/>
        <cfvo type="num" val="100"/>
        <color rgb="FFF8D7DA"/>
        <color rgb="FFFFF3CD"/>
        <color rgb="FFD4EDDA"/>
      </colorScale>
    </cfRule>
  </conditionalFormatting>
  <conditionalFormatting sqref="C17:K17">
    <cfRule type="colorScale" priority="3">
      <colorScale>
        <cfvo type="num" val="0"/>
        <cfvo type="num" val="1"/>
        <color rgb="FFF8D7DA"/>
        <color rgb="FFD4EDDA"/>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10"/>
    <col collapsed="false" customWidth="true" hidden="false" outlineLevel="0" max="4" min="4" style="0" width="12"/>
    <col collapsed="false" customWidth="true" hidden="false" outlineLevel="0" max="5" min="5" style="0" width="80"/>
  </cols>
  <sheetData>
    <row r="1" customFormat="false" ht="31.5" hidden="false" customHeight="true" outlineLevel="0" collapsed="false">
      <c r="A1" s="7" t="s">
        <v>46</v>
      </c>
      <c r="B1" s="7" t="s">
        <v>47</v>
      </c>
      <c r="C1" s="7" t="s">
        <v>48</v>
      </c>
      <c r="D1" s="7" t="s">
        <v>49</v>
      </c>
      <c r="E1" s="7" t="s">
        <v>50</v>
      </c>
    </row>
    <row r="2" customFormat="false" ht="15" hidden="false" customHeight="false" outlineLevel="0" collapsed="false">
      <c r="A2" s="9" t="s">
        <v>22</v>
      </c>
      <c r="B2" s="9" t="s">
        <v>51</v>
      </c>
      <c r="C2" s="16" t="n">
        <v>15</v>
      </c>
      <c r="D2" s="10" t="n">
        <v>15</v>
      </c>
      <c r="E2" s="9" t="s">
        <v>52</v>
      </c>
    </row>
    <row r="3" customFormat="false" ht="15" hidden="false" customHeight="false" outlineLevel="0" collapsed="false">
      <c r="A3" s="9" t="s">
        <v>22</v>
      </c>
      <c r="B3" s="9" t="s">
        <v>53</v>
      </c>
      <c r="C3" s="16" t="n">
        <v>12</v>
      </c>
      <c r="D3" s="10"/>
      <c r="E3" s="9"/>
    </row>
    <row r="4" customFormat="false" ht="15" hidden="false" customHeight="false" outlineLevel="0" collapsed="false">
      <c r="A4" s="9" t="s">
        <v>22</v>
      </c>
      <c r="B4" s="9" t="s">
        <v>54</v>
      </c>
      <c r="C4" s="16" t="n">
        <v>7</v>
      </c>
      <c r="D4" s="10"/>
      <c r="E4" s="9"/>
    </row>
    <row r="5" customFormat="false" ht="15" hidden="false" customHeight="false" outlineLevel="0" collapsed="false">
      <c r="A5" s="9" t="s">
        <v>22</v>
      </c>
      <c r="B5" s="9" t="s">
        <v>55</v>
      </c>
      <c r="C5" s="16" t="n">
        <v>0</v>
      </c>
      <c r="D5" s="10"/>
      <c r="E5" s="9"/>
    </row>
    <row r="6" customFormat="false" ht="15" hidden="false" customHeight="false" outlineLevel="0" collapsed="false">
      <c r="A6" s="9" t="s">
        <v>23</v>
      </c>
      <c r="B6" s="9" t="s">
        <v>51</v>
      </c>
      <c r="C6" s="16" t="n">
        <v>10</v>
      </c>
      <c r="D6" s="10" t="n">
        <v>10</v>
      </c>
      <c r="E6" s="9" t="s">
        <v>56</v>
      </c>
    </row>
    <row r="7" customFormat="false" ht="15" hidden="false" customHeight="false" outlineLevel="0" collapsed="false">
      <c r="A7" s="9" t="s">
        <v>23</v>
      </c>
      <c r="B7" s="9" t="s">
        <v>54</v>
      </c>
      <c r="C7" s="16" t="n">
        <v>5</v>
      </c>
      <c r="D7" s="10"/>
      <c r="E7" s="9"/>
    </row>
    <row r="8" customFormat="false" ht="15" hidden="false" customHeight="false" outlineLevel="0" collapsed="false">
      <c r="A8" s="9" t="s">
        <v>23</v>
      </c>
      <c r="B8" s="9" t="s">
        <v>57</v>
      </c>
      <c r="C8" s="16" t="n">
        <v>0</v>
      </c>
      <c r="D8" s="10"/>
      <c r="E8" s="9"/>
    </row>
    <row r="9" customFormat="false" ht="15" hidden="false" customHeight="false" outlineLevel="0" collapsed="false">
      <c r="A9" s="9" t="s">
        <v>24</v>
      </c>
      <c r="B9" s="9" t="s">
        <v>58</v>
      </c>
      <c r="C9" s="16" t="n">
        <v>15</v>
      </c>
      <c r="D9" s="10" t="n">
        <v>15</v>
      </c>
      <c r="E9" s="9" t="s">
        <v>59</v>
      </c>
    </row>
    <row r="10" customFormat="false" ht="15" hidden="false" customHeight="false" outlineLevel="0" collapsed="false">
      <c r="A10" s="9" t="s">
        <v>24</v>
      </c>
      <c r="B10" s="9" t="s">
        <v>60</v>
      </c>
      <c r="C10" s="16" t="n">
        <v>10</v>
      </c>
      <c r="D10" s="10"/>
      <c r="E10" s="9"/>
    </row>
    <row r="11" customFormat="false" ht="15" hidden="false" customHeight="false" outlineLevel="0" collapsed="false">
      <c r="A11" s="9" t="s">
        <v>24</v>
      </c>
      <c r="B11" s="9" t="s">
        <v>61</v>
      </c>
      <c r="C11" s="16" t="n">
        <v>5</v>
      </c>
      <c r="D11" s="10"/>
      <c r="E11" s="9"/>
    </row>
    <row r="12" customFormat="false" ht="15" hidden="false" customHeight="false" outlineLevel="0" collapsed="false">
      <c r="A12" s="9" t="s">
        <v>24</v>
      </c>
      <c r="B12" s="9" t="s">
        <v>57</v>
      </c>
      <c r="C12" s="16" t="n">
        <v>0</v>
      </c>
      <c r="D12" s="10"/>
      <c r="E12" s="9"/>
    </row>
    <row r="13" customFormat="false" ht="15" hidden="false" customHeight="false" outlineLevel="0" collapsed="false">
      <c r="A13" s="9" t="s">
        <v>25</v>
      </c>
      <c r="B13" s="9" t="s">
        <v>62</v>
      </c>
      <c r="C13" s="16" t="n">
        <v>10</v>
      </c>
      <c r="D13" s="10" t="n">
        <v>10</v>
      </c>
      <c r="E13" s="9" t="s">
        <v>63</v>
      </c>
    </row>
    <row r="14" customFormat="false" ht="15" hidden="false" customHeight="false" outlineLevel="0" collapsed="false">
      <c r="A14" s="9" t="s">
        <v>25</v>
      </c>
      <c r="B14" s="9" t="s">
        <v>64</v>
      </c>
      <c r="C14" s="16" t="n">
        <v>5</v>
      </c>
      <c r="D14" s="10"/>
      <c r="E14" s="9"/>
    </row>
    <row r="15" customFormat="false" ht="15" hidden="false" customHeight="false" outlineLevel="0" collapsed="false">
      <c r="A15" s="9" t="s">
        <v>25</v>
      </c>
      <c r="B15" s="9" t="s">
        <v>65</v>
      </c>
      <c r="C15" s="16" t="n">
        <v>0</v>
      </c>
      <c r="D15" s="10"/>
      <c r="E15" s="9"/>
    </row>
    <row r="16" customFormat="false" ht="15" hidden="false" customHeight="false" outlineLevel="0" collapsed="false">
      <c r="A16" s="9" t="s">
        <v>26</v>
      </c>
      <c r="B16" s="9" t="s">
        <v>66</v>
      </c>
      <c r="C16" s="16" t="n">
        <v>10</v>
      </c>
      <c r="D16" s="10" t="n">
        <v>10</v>
      </c>
      <c r="E16" s="9" t="s">
        <v>67</v>
      </c>
    </row>
    <row r="17" customFormat="false" ht="15" hidden="false" customHeight="false" outlineLevel="0" collapsed="false">
      <c r="A17" s="9" t="s">
        <v>26</v>
      </c>
      <c r="B17" s="9" t="s">
        <v>68</v>
      </c>
      <c r="C17" s="16" t="n">
        <v>5</v>
      </c>
      <c r="D17" s="10"/>
      <c r="E17" s="9"/>
    </row>
    <row r="18" customFormat="false" ht="15" hidden="false" customHeight="false" outlineLevel="0" collapsed="false">
      <c r="A18" s="9" t="s">
        <v>26</v>
      </c>
      <c r="B18" s="9" t="s">
        <v>65</v>
      </c>
      <c r="C18" s="16" t="n">
        <v>0</v>
      </c>
      <c r="D18" s="10"/>
      <c r="E18" s="9"/>
    </row>
    <row r="19" customFormat="false" ht="15" hidden="false" customHeight="false" outlineLevel="0" collapsed="false">
      <c r="A19" s="9" t="s">
        <v>27</v>
      </c>
      <c r="B19" s="9" t="s">
        <v>69</v>
      </c>
      <c r="C19" s="16" t="n">
        <v>15</v>
      </c>
      <c r="D19" s="10" t="n">
        <v>15</v>
      </c>
      <c r="E19" s="9" t="s">
        <v>70</v>
      </c>
    </row>
    <row r="20" customFormat="false" ht="15" hidden="false" customHeight="false" outlineLevel="0" collapsed="false">
      <c r="A20" s="9" t="s">
        <v>27</v>
      </c>
      <c r="B20" s="9" t="s">
        <v>71</v>
      </c>
      <c r="C20" s="16" t="n">
        <v>8</v>
      </c>
      <c r="D20" s="10"/>
      <c r="E20" s="9"/>
    </row>
    <row r="21" customFormat="false" ht="15" hidden="false" customHeight="false" outlineLevel="0" collapsed="false">
      <c r="A21" s="9" t="s">
        <v>27</v>
      </c>
      <c r="B21" s="9" t="s">
        <v>57</v>
      </c>
      <c r="C21" s="16" t="n">
        <v>0</v>
      </c>
      <c r="D21" s="10"/>
      <c r="E21" s="9"/>
    </row>
    <row r="22" customFormat="false" ht="15" hidden="false" customHeight="false" outlineLevel="0" collapsed="false">
      <c r="A22" s="9" t="s">
        <v>28</v>
      </c>
      <c r="B22" s="9" t="s">
        <v>72</v>
      </c>
      <c r="C22" s="16" t="n">
        <v>5</v>
      </c>
      <c r="D22" s="10" t="n">
        <v>5</v>
      </c>
      <c r="E22" s="9" t="s">
        <v>73</v>
      </c>
    </row>
    <row r="23" customFormat="false" ht="15" hidden="false" customHeight="false" outlineLevel="0" collapsed="false">
      <c r="A23" s="9" t="s">
        <v>28</v>
      </c>
      <c r="B23" s="9" t="s">
        <v>74</v>
      </c>
      <c r="C23" s="16" t="n">
        <v>3</v>
      </c>
      <c r="D23" s="10"/>
      <c r="E23" s="9"/>
    </row>
    <row r="24" customFormat="false" ht="15" hidden="false" customHeight="false" outlineLevel="0" collapsed="false">
      <c r="A24" s="9" t="s">
        <v>28</v>
      </c>
      <c r="B24" s="9" t="s">
        <v>75</v>
      </c>
      <c r="C24" s="16" t="n">
        <v>0</v>
      </c>
      <c r="D24" s="10"/>
      <c r="E24" s="9"/>
    </row>
    <row r="25" customFormat="false" ht="15" hidden="false" customHeight="false" outlineLevel="0" collapsed="false">
      <c r="A25" s="9" t="s">
        <v>29</v>
      </c>
      <c r="B25" s="9" t="s">
        <v>76</v>
      </c>
      <c r="C25" s="16" t="n">
        <v>10</v>
      </c>
      <c r="D25" s="10" t="n">
        <v>10</v>
      </c>
      <c r="E25" s="9" t="s">
        <v>77</v>
      </c>
    </row>
    <row r="26" customFormat="false" ht="15" hidden="false" customHeight="false" outlineLevel="0" collapsed="false">
      <c r="A26" s="9" t="s">
        <v>29</v>
      </c>
      <c r="B26" s="9" t="s">
        <v>78</v>
      </c>
      <c r="C26" s="16" t="n">
        <v>6</v>
      </c>
      <c r="D26" s="10"/>
      <c r="E26" s="9"/>
    </row>
    <row r="27" customFormat="false" ht="15" hidden="false" customHeight="false" outlineLevel="0" collapsed="false">
      <c r="A27" s="9" t="s">
        <v>29</v>
      </c>
      <c r="B27" s="9" t="s">
        <v>79</v>
      </c>
      <c r="C27" s="16" t="n">
        <v>0</v>
      </c>
      <c r="D27" s="10"/>
      <c r="E27" s="9"/>
    </row>
    <row r="28" customFormat="false" ht="15" hidden="false" customHeight="false" outlineLevel="0" collapsed="false">
      <c r="A28" s="9" t="s">
        <v>30</v>
      </c>
      <c r="B28" s="9" t="s">
        <v>80</v>
      </c>
      <c r="C28" s="16" t="n">
        <v>10</v>
      </c>
      <c r="D28" s="10" t="n">
        <v>10</v>
      </c>
      <c r="E28" s="9" t="s">
        <v>81</v>
      </c>
    </row>
    <row r="29" customFormat="false" ht="15" hidden="false" customHeight="false" outlineLevel="0" collapsed="false">
      <c r="A29" s="9" t="s">
        <v>30</v>
      </c>
      <c r="B29" s="9" t="s">
        <v>82</v>
      </c>
      <c r="C29" s="16" t="n">
        <v>6</v>
      </c>
      <c r="D29" s="10"/>
      <c r="E29" s="9"/>
    </row>
    <row r="30" customFormat="false" ht="15" hidden="false" customHeight="false" outlineLevel="0" collapsed="false">
      <c r="A30" s="9" t="s">
        <v>30</v>
      </c>
      <c r="B30" s="9" t="s">
        <v>83</v>
      </c>
      <c r="C30" s="16" t="n">
        <v>0</v>
      </c>
      <c r="D30" s="10"/>
      <c r="E30" s="9"/>
    </row>
    <row r="32" customFormat="false" ht="15" hidden="false" customHeight="false" outlineLevel="0" collapsed="false">
      <c r="A32" s="17" t="s">
        <v>84</v>
      </c>
      <c r="D32" s="17" t="n">
        <f aca="false">SUM(D2:D30)</f>
        <v>100</v>
      </c>
    </row>
    <row r="33" customFormat="false" ht="15" hidden="false" customHeight="false" outlineLevel="0" collapsed="false">
      <c r="A33" s="6"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0" min="2" style="0" width="15"/>
    <col collapsed="false" customWidth="true" hidden="false" outlineLevel="0" max="11" min="11" style="0" width="70"/>
  </cols>
  <sheetData>
    <row r="1" customFormat="false" ht="31.5" hidden="false" customHeight="true" outlineLevel="0" collapsed="false">
      <c r="A1" s="7" t="s">
        <v>20</v>
      </c>
      <c r="B1" s="7" t="s">
        <v>22</v>
      </c>
      <c r="C1" s="7" t="s">
        <v>23</v>
      </c>
      <c r="D1" s="7" t="s">
        <v>24</v>
      </c>
      <c r="E1" s="7" t="s">
        <v>25</v>
      </c>
      <c r="F1" s="7" t="s">
        <v>26</v>
      </c>
      <c r="G1" s="7" t="s">
        <v>27</v>
      </c>
      <c r="H1" s="7" t="s">
        <v>28</v>
      </c>
      <c r="I1" s="7" t="s">
        <v>29</v>
      </c>
      <c r="J1" s="7" t="s">
        <v>30</v>
      </c>
      <c r="K1" s="7" t="s">
        <v>86</v>
      </c>
    </row>
    <row r="2" customFormat="false" ht="30" hidden="false" customHeight="true" outlineLevel="0" collapsed="false">
      <c r="A2" s="13" t="s">
        <v>87</v>
      </c>
      <c r="B2" s="18" t="s">
        <v>51</v>
      </c>
      <c r="C2" s="18" t="s">
        <v>51</v>
      </c>
      <c r="D2" s="18" t="s">
        <v>58</v>
      </c>
      <c r="E2" s="18" t="s">
        <v>62</v>
      </c>
      <c r="F2" s="18" t="s">
        <v>66</v>
      </c>
      <c r="G2" s="18" t="s">
        <v>69</v>
      </c>
      <c r="H2" s="18" t="s">
        <v>74</v>
      </c>
      <c r="I2" s="18" t="s">
        <v>79</v>
      </c>
      <c r="J2" s="18" t="s">
        <v>82</v>
      </c>
      <c r="K2" s="9" t="s">
        <v>88</v>
      </c>
    </row>
    <row r="3" customFormat="false" ht="30" hidden="false" customHeight="true" outlineLevel="0" collapsed="false">
      <c r="A3" s="13" t="s">
        <v>89</v>
      </c>
      <c r="B3" s="18" t="s">
        <v>51</v>
      </c>
      <c r="C3" s="18" t="s">
        <v>51</v>
      </c>
      <c r="D3" s="18" t="s">
        <v>58</v>
      </c>
      <c r="E3" s="18" t="s">
        <v>62</v>
      </c>
      <c r="F3" s="18" t="s">
        <v>66</v>
      </c>
      <c r="G3" s="18" t="s">
        <v>69</v>
      </c>
      <c r="H3" s="18" t="s">
        <v>72</v>
      </c>
      <c r="I3" s="18" t="s">
        <v>76</v>
      </c>
      <c r="J3" s="18" t="s">
        <v>80</v>
      </c>
      <c r="K3" s="9" t="s">
        <v>90</v>
      </c>
    </row>
    <row r="4" customFormat="false" ht="30" hidden="false" customHeight="true" outlineLevel="0" collapsed="false">
      <c r="A4" s="13" t="s">
        <v>91</v>
      </c>
      <c r="B4" s="18" t="s">
        <v>51</v>
      </c>
      <c r="C4" s="18" t="s">
        <v>57</v>
      </c>
      <c r="D4" s="18" t="s">
        <v>58</v>
      </c>
      <c r="E4" s="18" t="s">
        <v>62</v>
      </c>
      <c r="F4" s="18" t="s">
        <v>66</v>
      </c>
      <c r="G4" s="18" t="s">
        <v>69</v>
      </c>
      <c r="H4" s="18" t="s">
        <v>74</v>
      </c>
      <c r="I4" s="18" t="s">
        <v>78</v>
      </c>
      <c r="J4" s="18" t="s">
        <v>82</v>
      </c>
      <c r="K4" s="9" t="s">
        <v>92</v>
      </c>
    </row>
    <row r="5" customFormat="false" ht="30" hidden="false" customHeight="true" outlineLevel="0" collapsed="false">
      <c r="A5" s="13" t="s">
        <v>93</v>
      </c>
      <c r="B5" s="18" t="s">
        <v>51</v>
      </c>
      <c r="C5" s="18" t="s">
        <v>51</v>
      </c>
      <c r="D5" s="18" t="s">
        <v>58</v>
      </c>
      <c r="E5" s="18" t="s">
        <v>64</v>
      </c>
      <c r="F5" s="18" t="s">
        <v>66</v>
      </c>
      <c r="G5" s="18" t="s">
        <v>69</v>
      </c>
      <c r="H5" s="18" t="s">
        <v>74</v>
      </c>
      <c r="I5" s="18" t="s">
        <v>78</v>
      </c>
      <c r="J5" s="18" t="s">
        <v>82</v>
      </c>
      <c r="K5" s="9" t="s">
        <v>94</v>
      </c>
    </row>
    <row r="6" customFormat="false" ht="30" hidden="false" customHeight="true" outlineLevel="0" collapsed="false">
      <c r="A6" s="13" t="s">
        <v>95</v>
      </c>
      <c r="B6" s="18" t="s">
        <v>51</v>
      </c>
      <c r="C6" s="18" t="s">
        <v>57</v>
      </c>
      <c r="D6" s="18" t="s">
        <v>58</v>
      </c>
      <c r="E6" s="18" t="s">
        <v>62</v>
      </c>
      <c r="F6" s="18" t="s">
        <v>66</v>
      </c>
      <c r="G6" s="18" t="s">
        <v>69</v>
      </c>
      <c r="H6" s="18" t="s">
        <v>74</v>
      </c>
      <c r="I6" s="18" t="s">
        <v>78</v>
      </c>
      <c r="J6" s="18" t="s">
        <v>82</v>
      </c>
      <c r="K6" s="9" t="s">
        <v>96</v>
      </c>
    </row>
    <row r="7" customFormat="false" ht="30" hidden="false" customHeight="true" outlineLevel="0" collapsed="false">
      <c r="A7" s="13" t="s">
        <v>97</v>
      </c>
      <c r="B7" s="18" t="s">
        <v>51</v>
      </c>
      <c r="C7" s="18" t="s">
        <v>57</v>
      </c>
      <c r="D7" s="18" t="s">
        <v>58</v>
      </c>
      <c r="E7" s="18" t="s">
        <v>65</v>
      </c>
      <c r="F7" s="18" t="s">
        <v>65</v>
      </c>
      <c r="G7" s="18" t="s">
        <v>69</v>
      </c>
      <c r="H7" s="18" t="s">
        <v>74</v>
      </c>
      <c r="I7" s="18" t="s">
        <v>78</v>
      </c>
      <c r="J7" s="18" t="s">
        <v>83</v>
      </c>
      <c r="K7" s="9" t="s">
        <v>98</v>
      </c>
    </row>
    <row r="8" customFormat="false" ht="30" hidden="false" customHeight="true" outlineLevel="0" collapsed="false">
      <c r="A8" s="13" t="s">
        <v>99</v>
      </c>
      <c r="B8" s="18" t="s">
        <v>51</v>
      </c>
      <c r="C8" s="18" t="s">
        <v>57</v>
      </c>
      <c r="D8" s="18" t="s">
        <v>58</v>
      </c>
      <c r="E8" s="18" t="s">
        <v>65</v>
      </c>
      <c r="F8" s="18" t="s">
        <v>65</v>
      </c>
      <c r="G8" s="18" t="s">
        <v>69</v>
      </c>
      <c r="H8" s="18" t="s">
        <v>74</v>
      </c>
      <c r="I8" s="18" t="s">
        <v>78</v>
      </c>
      <c r="J8" s="18" t="s">
        <v>80</v>
      </c>
      <c r="K8" s="9" t="s">
        <v>100</v>
      </c>
    </row>
    <row r="9" customFormat="false" ht="30" hidden="false" customHeight="true" outlineLevel="0" collapsed="false">
      <c r="A9" s="13" t="s">
        <v>101</v>
      </c>
      <c r="B9" s="18" t="s">
        <v>51</v>
      </c>
      <c r="C9" s="18" t="s">
        <v>57</v>
      </c>
      <c r="D9" s="18" t="s">
        <v>60</v>
      </c>
      <c r="E9" s="18" t="s">
        <v>65</v>
      </c>
      <c r="F9" s="18" t="s">
        <v>68</v>
      </c>
      <c r="G9" s="18" t="s">
        <v>69</v>
      </c>
      <c r="H9" s="18" t="s">
        <v>74</v>
      </c>
      <c r="I9" s="18" t="s">
        <v>78</v>
      </c>
      <c r="J9" s="18" t="s">
        <v>82</v>
      </c>
      <c r="K9" s="9" t="s">
        <v>102</v>
      </c>
    </row>
    <row r="10" customFormat="false" ht="30" hidden="false" customHeight="true" outlineLevel="0" collapsed="false">
      <c r="A10" s="13" t="s">
        <v>103</v>
      </c>
      <c r="B10" s="18" t="s">
        <v>51</v>
      </c>
      <c r="C10" s="18" t="s">
        <v>57</v>
      </c>
      <c r="D10" s="18" t="s">
        <v>58</v>
      </c>
      <c r="E10" s="18" t="s">
        <v>64</v>
      </c>
      <c r="F10" s="18" t="s">
        <v>66</v>
      </c>
      <c r="G10" s="18" t="s">
        <v>69</v>
      </c>
      <c r="H10" s="18" t="s">
        <v>74</v>
      </c>
      <c r="I10" s="18" t="s">
        <v>78</v>
      </c>
      <c r="J10" s="18" t="s">
        <v>80</v>
      </c>
      <c r="K10" s="9" t="s">
        <v>104</v>
      </c>
    </row>
    <row r="11" customFormat="false" ht="30" hidden="false" customHeight="true" outlineLevel="0" collapsed="false">
      <c r="A11" s="13" t="s">
        <v>105</v>
      </c>
      <c r="B11" s="18" t="s">
        <v>53</v>
      </c>
      <c r="C11" s="18" t="s">
        <v>57</v>
      </c>
      <c r="D11" s="18" t="s">
        <v>58</v>
      </c>
      <c r="E11" s="18" t="s">
        <v>64</v>
      </c>
      <c r="F11" s="18" t="s">
        <v>66</v>
      </c>
      <c r="G11" s="18" t="s">
        <v>69</v>
      </c>
      <c r="H11" s="18" t="s">
        <v>72</v>
      </c>
      <c r="I11" s="18" t="s">
        <v>78</v>
      </c>
      <c r="J11" s="18" t="s">
        <v>82</v>
      </c>
      <c r="K11" s="9" t="s">
        <v>106</v>
      </c>
    </row>
    <row r="13" customFormat="false" ht="15" hidden="false" customHeight="false" outlineLevel="0" collapsed="false">
      <c r="A13" s="6" t="s">
        <v>107</v>
      </c>
    </row>
  </sheetData>
  <dataValidations count="9">
    <dataValidation allowBlank="false" errorStyle="stop" operator="between" showDropDown="false" showErrorMessage="false" showInputMessage="false" sqref="B2:B11" type="list">
      <formula1>"Full,Rounded,Partial,Missing"</formula1>
      <formula2>0</formula2>
    </dataValidation>
    <dataValidation allowBlank="false" errorStyle="stop" operator="between" showDropDown="false" showErrorMessage="false" showInputMessage="false" sqref="C2:C11" type="list">
      <formula1>"Full,Partial,None"</formula1>
      <formula2>0</formula2>
    </dataValidation>
    <dataValidation allowBlank="false" errorStyle="stop" operator="between" showDropDown="false" showErrorMessage="false" showInputMessage="false" sqref="D2:D11" type="list">
      <formula1>"All three,Two,One,None"</formula1>
      <formula2>0</formula2>
    </dataValidation>
    <dataValidation allowBlank="false" errorStyle="stop" operator="between" showDropDown="false" showErrorMessage="false" showInputMessage="false" sqref="E2:E11" type="list">
      <formula1>"Both,One stated,Not stated"</formula1>
      <formula2>0</formula2>
    </dataValidation>
    <dataValidation allowBlank="false" errorStyle="stop" operator="between" showDropDown="false" showErrorMessage="false" showInputMessage="false" sqref="F2:F11" type="list">
      <formula1>"Stated,Referenced elsewhere,Not stated"</formula1>
      <formula2>0</formula2>
    </dataValidation>
    <dataValidation allowBlank="false" errorStyle="stop" operator="between" showDropDown="false" showErrorMessage="false" showInputMessage="false" sqref="G2:G11" type="list">
      <formula1>"Reasonable,Limited,None"</formula1>
      <formula2>0</formula2>
    </dataValidation>
    <dataValidation allowBlank="false" errorStyle="stop" operator="between" showDropDown="false" showErrorMessage="false" showInputMessage="false" sqref="H2:H11" type="list">
      <formula1>"Consolidated,Standalone,Unclear"</formula1>
      <formula2>0</formula2>
    </dataValidation>
    <dataValidation allowBlank="false" errorStyle="stop" operator="between" showDropDown="false" showErrorMessage="false" showInputMessage="false" sqref="I2:I11" type="list">
      <formula1>"Category breakdown,Total only,Not disclosed"</formula1>
      <formula2>0</formula2>
    </dataValidation>
    <dataValidation allowBlank="false" errorStyle="stop" operator="between" showDropDown="false" showErrorMessage="false" showInputMessage="false" sqref="J2:J11" type="list">
      <formula1>"SBTi,Dated net zero,None found"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3" min="3" style="0" width="14"/>
    <col collapsed="false" customWidth="true" hidden="false" outlineLevel="0" max="5" min="4" style="0" width="15"/>
    <col collapsed="false" customWidth="true" hidden="false" outlineLevel="0" max="6" min="6" style="0" width="9"/>
    <col collapsed="false" customWidth="true" hidden="false" outlineLevel="0" max="8" min="7" style="0" width="14"/>
    <col collapsed="false" customWidth="true" hidden="false" outlineLevel="0" max="9" min="9" style="0" width="9"/>
    <col collapsed="false" customWidth="true" hidden="false" outlineLevel="0" max="10" min="10" style="0" width="15"/>
    <col collapsed="false" customWidth="true" hidden="false" outlineLevel="0" max="11" min="11" style="0" width="9"/>
    <col collapsed="false" customWidth="true" hidden="false" outlineLevel="0" max="12" min="12" style="0" width="18"/>
    <col collapsed="false" customWidth="true" hidden="false" outlineLevel="0" max="15" min="13" style="0" width="15"/>
    <col collapsed="false" customWidth="true" hidden="false" outlineLevel="0" max="16" min="16" style="0" width="12"/>
    <col collapsed="false" customWidth="true" hidden="false" outlineLevel="0" max="18" min="17" style="0" width="26"/>
    <col collapsed="false" customWidth="true" hidden="false" outlineLevel="0" max="19" min="19" style="0" width="12"/>
    <col collapsed="false" customWidth="true" hidden="false" outlineLevel="0" max="20" min="20" style="0" width="40"/>
    <col collapsed="false" customWidth="true" hidden="false" outlineLevel="0" max="21" min="21" style="0" width="60"/>
    <col collapsed="false" customWidth="true" hidden="false" outlineLevel="0" max="22" min="22" style="0" width="30"/>
  </cols>
  <sheetData>
    <row r="1" customFormat="false" ht="31.5" hidden="false" customHeight="true" outlineLevel="0" collapsed="false">
      <c r="A1" s="7" t="s">
        <v>20</v>
      </c>
      <c r="B1" s="7" t="s">
        <v>21</v>
      </c>
      <c r="C1" s="7" t="s">
        <v>108</v>
      </c>
      <c r="D1" s="7" t="s">
        <v>109</v>
      </c>
      <c r="E1" s="7" t="s">
        <v>110</v>
      </c>
      <c r="F1" s="7" t="s">
        <v>111</v>
      </c>
      <c r="G1" s="7" t="s">
        <v>112</v>
      </c>
      <c r="H1" s="7" t="s">
        <v>113</v>
      </c>
      <c r="I1" s="7" t="s">
        <v>114</v>
      </c>
      <c r="J1" s="7" t="s">
        <v>115</v>
      </c>
      <c r="K1" s="7" t="s">
        <v>116</v>
      </c>
      <c r="L1" s="7" t="s">
        <v>117</v>
      </c>
      <c r="M1" s="7" t="s">
        <v>118</v>
      </c>
      <c r="N1" s="7" t="s">
        <v>119</v>
      </c>
      <c r="O1" s="7" t="s">
        <v>120</v>
      </c>
      <c r="P1" s="7" t="s">
        <v>121</v>
      </c>
      <c r="Q1" s="7" t="s">
        <v>122</v>
      </c>
      <c r="R1" s="7" t="s">
        <v>123</v>
      </c>
      <c r="S1" s="7" t="s">
        <v>124</v>
      </c>
      <c r="T1" s="7" t="s">
        <v>125</v>
      </c>
      <c r="U1" s="7" t="s">
        <v>126</v>
      </c>
      <c r="V1" s="7" t="s">
        <v>127</v>
      </c>
    </row>
    <row r="2" customFormat="false" ht="63.75" hidden="false" customHeight="true" outlineLevel="0" collapsed="false">
      <c r="A2" s="9" t="s">
        <v>87</v>
      </c>
      <c r="B2" s="9" t="s">
        <v>34</v>
      </c>
      <c r="C2" s="9" t="s">
        <v>74</v>
      </c>
      <c r="D2" s="19" t="n">
        <v>36350070</v>
      </c>
      <c r="E2" s="19" t="n">
        <v>36459294</v>
      </c>
      <c r="F2" s="20" t="n">
        <f aca="false">IF(E2=0,"",D2/E2-1)</f>
        <v>-0.00299577934778439</v>
      </c>
      <c r="G2" s="19" t="n">
        <v>1918352</v>
      </c>
      <c r="H2" s="19" t="n">
        <v>1470097</v>
      </c>
      <c r="I2" s="20" t="n">
        <f aca="false">IF(H2=0,"",G2/H2-1)</f>
        <v>0.30491525389141</v>
      </c>
      <c r="J2" s="21" t="n">
        <f aca="false">D2+G2</f>
        <v>38268422</v>
      </c>
      <c r="K2" s="20" t="n">
        <f aca="false">IF(J2=0,"",D2/J2)</f>
        <v>0.949871149638728</v>
      </c>
      <c r="L2" s="9" t="s">
        <v>128</v>
      </c>
      <c r="M2" s="19" t="n">
        <v>2532081</v>
      </c>
      <c r="N2" s="19"/>
      <c r="O2" s="19"/>
      <c r="P2" s="22" t="n">
        <v>0.478</v>
      </c>
      <c r="Q2" s="9" t="s">
        <v>129</v>
      </c>
      <c r="R2" s="9" t="s">
        <v>130</v>
      </c>
      <c r="S2" s="10" t="s">
        <v>69</v>
      </c>
      <c r="T2" s="9" t="s">
        <v>131</v>
      </c>
      <c r="U2" s="9" t="s">
        <v>132</v>
      </c>
      <c r="V2" s="23" t="s">
        <v>133</v>
      </c>
    </row>
    <row r="3" customFormat="false" ht="63.75" hidden="false" customHeight="true" outlineLevel="0" collapsed="false">
      <c r="A3" s="9" t="s">
        <v>89</v>
      </c>
      <c r="B3" s="9" t="s">
        <v>35</v>
      </c>
      <c r="C3" s="9" t="s">
        <v>72</v>
      </c>
      <c r="D3" s="19" t="n">
        <v>22631</v>
      </c>
      <c r="E3" s="19" t="n">
        <v>20494.8</v>
      </c>
      <c r="F3" s="20" t="n">
        <f aca="false">IF(E3=0,"",D3/E3-1)</f>
        <v>0.104231317212171</v>
      </c>
      <c r="G3" s="19" t="n">
        <v>53971</v>
      </c>
      <c r="H3" s="19" t="n">
        <v>55599</v>
      </c>
      <c r="I3" s="20" t="n">
        <f aca="false">IF(H3=0,"",G3/H3-1)</f>
        <v>-0.0292811021780968</v>
      </c>
      <c r="J3" s="21" t="n">
        <f aca="false">D3+G3</f>
        <v>76602</v>
      </c>
      <c r="K3" s="20" t="n">
        <f aca="false">IF(J3=0,"",D3/J3)</f>
        <v>0.295436150492154</v>
      </c>
      <c r="L3" s="9" t="s">
        <v>134</v>
      </c>
      <c r="M3" s="19" t="n">
        <v>318184</v>
      </c>
      <c r="N3" s="19" t="n">
        <v>573872</v>
      </c>
      <c r="O3" s="19" t="n">
        <v>523810</v>
      </c>
      <c r="P3" s="22" t="n">
        <v>0.12</v>
      </c>
      <c r="Q3" s="9" t="s">
        <v>135</v>
      </c>
      <c r="R3" s="9" t="s">
        <v>136</v>
      </c>
      <c r="S3" s="10" t="s">
        <v>69</v>
      </c>
      <c r="T3" s="9" t="s">
        <v>137</v>
      </c>
      <c r="U3" s="9" t="s">
        <v>138</v>
      </c>
      <c r="V3" s="23" t="s">
        <v>133</v>
      </c>
    </row>
    <row r="4" customFormat="false" ht="63.75" hidden="false" customHeight="true" outlineLevel="0" collapsed="false">
      <c r="A4" s="9" t="s">
        <v>91</v>
      </c>
      <c r="B4" s="9" t="s">
        <v>35</v>
      </c>
      <c r="C4" s="9" t="s">
        <v>74</v>
      </c>
      <c r="D4" s="19" t="n">
        <v>11483</v>
      </c>
      <c r="E4" s="19" t="n">
        <v>8745</v>
      </c>
      <c r="F4" s="20" t="n">
        <f aca="false">IF(E4=0,"",D4/E4-1)</f>
        <v>0.313093196112064</v>
      </c>
      <c r="G4" s="19" t="n">
        <v>34351</v>
      </c>
      <c r="H4" s="19" t="n">
        <v>38586</v>
      </c>
      <c r="I4" s="20" t="n">
        <f aca="false">IF(H4=0,"",G4/H4-1)</f>
        <v>-0.10975483335925</v>
      </c>
      <c r="J4" s="21" t="n">
        <f aca="false">D4+G4</f>
        <v>45834</v>
      </c>
      <c r="K4" s="20" t="n">
        <f aca="false">IF(J4=0,"",D4/J4)</f>
        <v>0.250534537679452</v>
      </c>
      <c r="L4" s="9" t="s">
        <v>128</v>
      </c>
      <c r="M4" s="19" t="n">
        <v>145604</v>
      </c>
      <c r="N4" s="19" t="n">
        <v>207374</v>
      </c>
      <c r="O4" s="19" t="n">
        <v>208659</v>
      </c>
      <c r="P4" s="22" t="n">
        <v>0.13</v>
      </c>
      <c r="Q4" s="9" t="s">
        <v>135</v>
      </c>
      <c r="R4" s="9" t="s">
        <v>130</v>
      </c>
      <c r="S4" s="10" t="s">
        <v>69</v>
      </c>
      <c r="T4" s="9" t="s">
        <v>139</v>
      </c>
      <c r="U4" s="9" t="s">
        <v>140</v>
      </c>
      <c r="V4" s="23" t="s">
        <v>133</v>
      </c>
    </row>
    <row r="5" customFormat="false" ht="63.75" hidden="false" customHeight="true" outlineLevel="0" collapsed="false">
      <c r="A5" s="9" t="s">
        <v>93</v>
      </c>
      <c r="B5" s="9" t="s">
        <v>36</v>
      </c>
      <c r="C5" s="9" t="s">
        <v>74</v>
      </c>
      <c r="D5" s="19" t="n">
        <v>91849.51</v>
      </c>
      <c r="E5" s="19" t="n">
        <v>77999.5</v>
      </c>
      <c r="F5" s="20" t="n">
        <f aca="false">IF(E5=0,"",D5/E5-1)</f>
        <v>0.177565369008776</v>
      </c>
      <c r="G5" s="19" t="n">
        <v>236495.41</v>
      </c>
      <c r="H5" s="19" t="n">
        <v>284877.91</v>
      </c>
      <c r="I5" s="20" t="n">
        <f aca="false">IF(H5=0,"",G5/H5-1)</f>
        <v>-0.169835913216297</v>
      </c>
      <c r="J5" s="21" t="n">
        <f aca="false">D5+G5</f>
        <v>328344.92</v>
      </c>
      <c r="K5" s="20" t="n">
        <f aca="false">IF(J5=0,"",D5/J5)</f>
        <v>0.279734828850101</v>
      </c>
      <c r="L5" s="9" t="s">
        <v>128</v>
      </c>
      <c r="M5" s="19"/>
      <c r="N5" s="19" t="n">
        <v>227208.97</v>
      </c>
      <c r="O5" s="19" t="n">
        <v>230310.04</v>
      </c>
      <c r="P5" s="22" t="n">
        <v>1.55</v>
      </c>
      <c r="Q5" s="9" t="s">
        <v>135</v>
      </c>
      <c r="R5" s="9" t="s">
        <v>141</v>
      </c>
      <c r="S5" s="10" t="s">
        <v>69</v>
      </c>
      <c r="T5" s="9" t="s">
        <v>142</v>
      </c>
      <c r="U5" s="9" t="s">
        <v>143</v>
      </c>
      <c r="V5" s="23" t="s">
        <v>133</v>
      </c>
    </row>
    <row r="6" customFormat="false" ht="63.75" hidden="false" customHeight="true" outlineLevel="0" collapsed="false">
      <c r="A6" s="9" t="s">
        <v>95</v>
      </c>
      <c r="B6" s="9" t="s">
        <v>37</v>
      </c>
      <c r="C6" s="9" t="s">
        <v>74</v>
      </c>
      <c r="D6" s="19" t="n">
        <v>1045000</v>
      </c>
      <c r="E6" s="19" t="n">
        <v>1101000</v>
      </c>
      <c r="F6" s="20" t="n">
        <f aca="false">IF(E6=0,"",D6/E6-1)</f>
        <v>-0.0508628519527702</v>
      </c>
      <c r="G6" s="19" t="n">
        <v>151000</v>
      </c>
      <c r="H6" s="19" t="n">
        <v>153000</v>
      </c>
      <c r="I6" s="20" t="n">
        <f aca="false">IF(H6=0,"",G6/H6-1)</f>
        <v>-0.0130718954248366</v>
      </c>
      <c r="J6" s="21" t="n">
        <f aca="false">D6+G6</f>
        <v>1196000</v>
      </c>
      <c r="K6" s="20" t="n">
        <f aca="false">IF(J6=0,"",D6/J6)</f>
        <v>0.873745819397993</v>
      </c>
      <c r="L6" s="9" t="s">
        <v>128</v>
      </c>
      <c r="M6" s="19" t="n">
        <v>170000</v>
      </c>
      <c r="N6" s="19" t="n">
        <v>1442000</v>
      </c>
      <c r="O6" s="19" t="n">
        <v>1062000</v>
      </c>
      <c r="P6" s="22" t="n">
        <v>1.01</v>
      </c>
      <c r="Q6" s="9" t="s">
        <v>144</v>
      </c>
      <c r="R6" s="9" t="s">
        <v>136</v>
      </c>
      <c r="S6" s="10" t="s">
        <v>69</v>
      </c>
      <c r="T6" s="9" t="s">
        <v>145</v>
      </c>
      <c r="U6" s="9" t="s">
        <v>146</v>
      </c>
      <c r="V6" s="23" t="s">
        <v>133</v>
      </c>
    </row>
    <row r="7" customFormat="false" ht="63.75" hidden="false" customHeight="true" outlineLevel="0" collapsed="false">
      <c r="A7" s="9" t="s">
        <v>97</v>
      </c>
      <c r="B7" s="9" t="s">
        <v>38</v>
      </c>
      <c r="C7" s="9" t="s">
        <v>74</v>
      </c>
      <c r="D7" s="19" t="n">
        <v>309007966.99</v>
      </c>
      <c r="E7" s="19" t="n">
        <v>326959946.44</v>
      </c>
      <c r="F7" s="20" t="n">
        <f aca="false">IF(E7=0,"",D7/E7-1)</f>
        <v>-0.0549057450169798</v>
      </c>
      <c r="G7" s="19" t="n">
        <v>72361.35</v>
      </c>
      <c r="H7" s="19" t="n">
        <v>64979.66</v>
      </c>
      <c r="I7" s="20" t="n">
        <f aca="false">IF(H7=0,"",G7/H7-1)</f>
        <v>0.113600009603005</v>
      </c>
      <c r="J7" s="21" t="n">
        <f aca="false">D7+G7</f>
        <v>309080328.34</v>
      </c>
      <c r="K7" s="20" t="n">
        <f aca="false">IF(J7=0,"",D7/J7)</f>
        <v>0.999765881735701</v>
      </c>
      <c r="L7" s="9" t="s">
        <v>65</v>
      </c>
      <c r="M7" s="19"/>
      <c r="N7" s="19" t="n">
        <v>10588637.77</v>
      </c>
      <c r="O7" s="19" t="n">
        <v>1973049.64</v>
      </c>
      <c r="P7" s="22" t="n">
        <v>876.11</v>
      </c>
      <c r="Q7" s="9" t="s">
        <v>147</v>
      </c>
      <c r="R7" s="9" t="s">
        <v>148</v>
      </c>
      <c r="S7" s="10" t="s">
        <v>69</v>
      </c>
      <c r="T7" s="9" t="s">
        <v>149</v>
      </c>
      <c r="U7" s="9" t="s">
        <v>150</v>
      </c>
      <c r="V7" s="23" t="s">
        <v>133</v>
      </c>
    </row>
    <row r="8" customFormat="false" ht="63.75" hidden="false" customHeight="true" outlineLevel="0" collapsed="false">
      <c r="A8" s="9" t="s">
        <v>99</v>
      </c>
      <c r="B8" s="9" t="s">
        <v>39</v>
      </c>
      <c r="C8" s="9" t="s">
        <v>74</v>
      </c>
      <c r="D8" s="19" t="n">
        <v>88884246</v>
      </c>
      <c r="E8" s="19" t="n">
        <v>81107852</v>
      </c>
      <c r="F8" s="20" t="n">
        <f aca="false">IF(E8=0,"",D8/E8-1)</f>
        <v>0.0958772031097557</v>
      </c>
      <c r="G8" s="19" t="n">
        <v>2040172</v>
      </c>
      <c r="H8" s="19" t="n">
        <v>1884213.56</v>
      </c>
      <c r="I8" s="20" t="n">
        <f aca="false">IF(H8=0,"",G8/H8-1)</f>
        <v>0.0827711058400407</v>
      </c>
      <c r="J8" s="21" t="n">
        <f aca="false">D8+G8</f>
        <v>90924418</v>
      </c>
      <c r="K8" s="20" t="n">
        <f aca="false">IF(J8=0,"",D8/J8)</f>
        <v>0.977561891020298</v>
      </c>
      <c r="L8" s="9" t="s">
        <v>65</v>
      </c>
      <c r="M8" s="19"/>
      <c r="N8" s="19" t="n">
        <v>12831001.9</v>
      </c>
      <c r="O8" s="19" t="n">
        <v>12711286.88</v>
      </c>
      <c r="P8" s="22" t="n">
        <v>590.77</v>
      </c>
      <c r="Q8" s="9" t="s">
        <v>151</v>
      </c>
      <c r="R8" s="9" t="s">
        <v>152</v>
      </c>
      <c r="S8" s="10" t="s">
        <v>69</v>
      </c>
      <c r="T8" s="9" t="s">
        <v>153</v>
      </c>
      <c r="U8" s="9" t="s">
        <v>154</v>
      </c>
      <c r="V8" s="23" t="s">
        <v>133</v>
      </c>
    </row>
    <row r="9" customFormat="false" ht="63.75" hidden="false" customHeight="true" outlineLevel="0" collapsed="false">
      <c r="A9" s="9" t="s">
        <v>101</v>
      </c>
      <c r="B9" s="9" t="s">
        <v>40</v>
      </c>
      <c r="C9" s="9" t="s">
        <v>74</v>
      </c>
      <c r="D9" s="19" t="n">
        <v>617113</v>
      </c>
      <c r="E9" s="19" t="n">
        <v>603953</v>
      </c>
      <c r="F9" s="20" t="n">
        <f aca="false">IF(E9=0,"",D9/E9-1)</f>
        <v>0.0217897750321632</v>
      </c>
      <c r="G9" s="19" t="n">
        <v>289920</v>
      </c>
      <c r="H9" s="19" t="n">
        <v>282341</v>
      </c>
      <c r="I9" s="20" t="n">
        <f aca="false">IF(H9=0,"",G9/H9-1)</f>
        <v>0.0268434269199302</v>
      </c>
      <c r="J9" s="21" t="n">
        <f aca="false">D9+G9</f>
        <v>907033</v>
      </c>
      <c r="K9" s="20" t="n">
        <f aca="false">IF(J9=0,"",D9/J9)</f>
        <v>0.680364440985058</v>
      </c>
      <c r="L9" s="9" t="s">
        <v>65</v>
      </c>
      <c r="M9" s="19"/>
      <c r="N9" s="19" t="n">
        <v>6548226</v>
      </c>
      <c r="O9" s="19" t="n">
        <v>7458242</v>
      </c>
      <c r="P9" s="22"/>
      <c r="Q9" s="9"/>
      <c r="R9" s="9" t="s">
        <v>155</v>
      </c>
      <c r="S9" s="10" t="s">
        <v>69</v>
      </c>
      <c r="T9" s="9" t="s">
        <v>156</v>
      </c>
      <c r="U9" s="9" t="s">
        <v>157</v>
      </c>
      <c r="V9" s="23" t="s">
        <v>133</v>
      </c>
    </row>
    <row r="10" customFormat="false" ht="63.75" hidden="false" customHeight="true" outlineLevel="0" collapsed="false">
      <c r="A10" s="9" t="s">
        <v>103</v>
      </c>
      <c r="B10" s="9" t="s">
        <v>41</v>
      </c>
      <c r="C10" s="9" t="s">
        <v>74</v>
      </c>
      <c r="D10" s="19" t="n">
        <v>80319</v>
      </c>
      <c r="E10" s="19" t="n">
        <v>67829</v>
      </c>
      <c r="F10" s="20" t="n">
        <f aca="false">IF(E10=0,"",D10/E10-1)</f>
        <v>0.184139527340813</v>
      </c>
      <c r="G10" s="19" t="n">
        <v>241210</v>
      </c>
      <c r="H10" s="19" t="n">
        <v>249830</v>
      </c>
      <c r="I10" s="20" t="n">
        <f aca="false">IF(H10=0,"",G10/H10-1)</f>
        <v>-0.0345034623544009</v>
      </c>
      <c r="J10" s="21" t="n">
        <f aca="false">D10+G10</f>
        <v>321529</v>
      </c>
      <c r="K10" s="20" t="n">
        <f aca="false">IF(J10=0,"",D10/J10)</f>
        <v>0.249803283685142</v>
      </c>
      <c r="L10" s="9" t="s">
        <v>128</v>
      </c>
      <c r="M10" s="19"/>
      <c r="N10" s="19" t="n">
        <v>123705567</v>
      </c>
      <c r="O10" s="19" t="n">
        <v>94516227</v>
      </c>
      <c r="P10" s="22" t="n">
        <v>0.089</v>
      </c>
      <c r="Q10" s="9" t="s">
        <v>158</v>
      </c>
      <c r="R10" s="9" t="s">
        <v>159</v>
      </c>
      <c r="S10" s="10" t="s">
        <v>69</v>
      </c>
      <c r="T10" s="9" t="s">
        <v>160</v>
      </c>
      <c r="U10" s="9" t="s">
        <v>161</v>
      </c>
      <c r="V10" s="23" t="s">
        <v>133</v>
      </c>
    </row>
    <row r="11" customFormat="false" ht="63.75" hidden="false" customHeight="true" outlineLevel="0" collapsed="false">
      <c r="A11" s="9" t="s">
        <v>105</v>
      </c>
      <c r="B11" s="9" t="s">
        <v>42</v>
      </c>
      <c r="C11" s="9" t="s">
        <v>162</v>
      </c>
      <c r="D11" s="19" t="n">
        <v>64000000</v>
      </c>
      <c r="E11" s="19" t="n">
        <v>61000000</v>
      </c>
      <c r="F11" s="20" t="n">
        <f aca="false">IF(E11=0,"",D11/E11-1)</f>
        <v>0.0491803278688525</v>
      </c>
      <c r="G11" s="19" t="n">
        <v>5000000</v>
      </c>
      <c r="H11" s="19" t="n">
        <v>5000000</v>
      </c>
      <c r="I11" s="20" t="n">
        <f aca="false">IF(H11=0,"",G11/H11-1)</f>
        <v>0</v>
      </c>
      <c r="J11" s="21" t="n">
        <f aca="false">D11+G11</f>
        <v>69000000</v>
      </c>
      <c r="K11" s="20" t="n">
        <f aca="false">IF(J11=0,"",D11/J11)</f>
        <v>0.927536231884058</v>
      </c>
      <c r="L11" s="9" t="s">
        <v>163</v>
      </c>
      <c r="M11" s="19"/>
      <c r="N11" s="19" t="n">
        <v>28000000</v>
      </c>
      <c r="O11" s="19" t="n">
        <v>23000000</v>
      </c>
      <c r="P11" s="22" t="n">
        <v>3.1</v>
      </c>
      <c r="Q11" s="9" t="s">
        <v>164</v>
      </c>
      <c r="R11" s="9" t="s">
        <v>165</v>
      </c>
      <c r="S11" s="10" t="s">
        <v>69</v>
      </c>
      <c r="T11" s="9" t="s">
        <v>166</v>
      </c>
      <c r="U11" s="9" t="s">
        <v>167</v>
      </c>
      <c r="V11" s="23" t="s">
        <v>133</v>
      </c>
    </row>
    <row r="12" customFormat="false" ht="15" hidden="false" customHeight="false" outlineLevel="0" collapsed="false">
      <c r="A12" s="13" t="s">
        <v>168</v>
      </c>
      <c r="D12" s="24" t="n">
        <f aca="false">SUM(D2:D11)</f>
        <v>500110678.5</v>
      </c>
      <c r="E12" s="24" t="n">
        <f aca="false">SUM(E2:E11)</f>
        <v>507407113.74</v>
      </c>
      <c r="F12" s="25" t="n">
        <f aca="false">D12/E12-1</f>
        <v>-0.0143798441969396</v>
      </c>
      <c r="G12" s="24" t="n">
        <f aca="false">SUM(G2:G11)</f>
        <v>10037832.76</v>
      </c>
      <c r="H12" s="24" t="n">
        <f aca="false">SUM(H2:H11)</f>
        <v>9483524.13</v>
      </c>
      <c r="I12" s="25" t="n">
        <f aca="false">G12/H12-1</f>
        <v>0.0584496461865383</v>
      </c>
      <c r="J12" s="24" t="n">
        <f aca="false">SUM(J2:J11)</f>
        <v>510148511.26</v>
      </c>
    </row>
    <row r="14" customFormat="false" ht="15" hidden="false" customHeight="false" outlineLevel="0" collapsed="false">
      <c r="A14" s="6" t="s">
        <v>169</v>
      </c>
    </row>
  </sheetData>
  <hyperlinks>
    <hyperlink ref="V2" r:id="rId2" display="Open report"/>
    <hyperlink ref="V3" r:id="rId3" display="Open report"/>
    <hyperlink ref="V4" r:id="rId4" display="Open report"/>
    <hyperlink ref="V5" r:id="rId5" display="Open report"/>
    <hyperlink ref="V6" r:id="rId6" display="Open report"/>
    <hyperlink ref="V7" r:id="rId7" display="Open report"/>
    <hyperlink ref="V8" r:id="rId8" display="Open report"/>
    <hyperlink ref="V9" r:id="rId9" display="Open report"/>
    <hyperlink ref="V10" r:id="rId10" display="Open report"/>
    <hyperlink ref="V11" r:id="rId11" display="Open repor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2026-10-21T11:40:54Z</dcterms:created>
  <dc:creator>openpyxl</dc:creator>
  <dc:description/>
  <dc:language>en-US</dc:language>
  <cp:lastModifiedBy/>
  <dcterms:modified xsi:type="dcterms:W3CDTF">2026-10-21T11:40:57Z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