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Scores" sheetId="2" state="visible" r:id="rId2"/>
    <sheet xmlns:r="http://schemas.openxmlformats.org/officeDocument/2006/relationships" name="Rubric" sheetId="3" state="visible" r:id="rId3"/>
    <sheet xmlns:r="http://schemas.openxmlformats.org/officeDocument/2006/relationships" name="Assessment" sheetId="4" state="visible" r:id="rId4"/>
    <sheet xmlns:r="http://schemas.openxmlformats.org/officeDocument/2006/relationships" name="Emissions Data" sheetId="5" state="visible" r:id="rId5"/>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9">
    <font>
      <name val="Calibri"/>
      <family val="2"/>
      <color theme="1"/>
      <sz val="11"/>
      <scheme val="minor"/>
    </font>
    <font>
      <name val="Arial"/>
      <b val="1"/>
      <color rgb="001F4E5A"/>
      <sz val="14"/>
    </font>
    <font>
      <name val="Arial"/>
      <i val="1"/>
      <color rgb="00555555"/>
      <sz val="10"/>
    </font>
    <font>
      <name val="Arial"/>
      <sz val="10"/>
    </font>
    <font>
      <name val="Arial"/>
      <b val="1"/>
      <sz val="10"/>
    </font>
    <font>
      <name val="Arial"/>
      <b val="1"/>
      <color rgb="00FFFFFF"/>
      <sz val="10"/>
    </font>
    <font>
      <name val="Arial"/>
      <color rgb="000000FF"/>
      <sz val="10"/>
    </font>
    <font>
      <name val="Arial"/>
      <b val="1"/>
      <color rgb="00008000"/>
      <sz val="10"/>
    </font>
    <font>
      <name val="Arial"/>
      <color rgb="000563C1"/>
      <sz val="10"/>
      <u val="single"/>
    </font>
  </fonts>
  <fills count="4">
    <fill>
      <patternFill/>
    </fill>
    <fill>
      <patternFill patternType="gray125"/>
    </fill>
    <fill>
      <patternFill patternType="solid">
        <fgColor rgb="001F4E5A"/>
      </patternFill>
    </fill>
    <fill>
      <patternFill patternType="solid">
        <fgColor rgb="00FFF9DB"/>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2" borderId="1" applyAlignment="1" pivotButton="0" quotePrefix="0" xfId="0">
      <alignment horizontal="center" vertical="center" wrapText="1"/>
    </xf>
    <xf numFmtId="0" fontId="7"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164" fontId="4" fillId="0" borderId="1" applyAlignment="1" pivotButton="0" quotePrefix="0" xfId="0">
      <alignment horizontal="center" vertical="center" wrapText="1"/>
    </xf>
    <xf numFmtId="9" fontId="4"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0" pivotButton="0" quotePrefix="0" xfId="0"/>
    <xf numFmtId="0" fontId="6" fillId="3" borderId="1" applyAlignment="1" pivotButton="0" quotePrefix="0" xfId="0">
      <alignment horizontal="center" vertical="center" wrapText="1"/>
    </xf>
    <xf numFmtId="165" fontId="6" fillId="0" borderId="1" applyAlignment="1" pivotButton="0" quotePrefix="0" xfId="0">
      <alignment vertical="top" wrapText="1"/>
    </xf>
    <xf numFmtId="166" fontId="3" fillId="0" borderId="1" applyAlignment="1" pivotButton="0" quotePrefix="0" xfId="0">
      <alignment horizontal="center" vertical="center" wrapText="1"/>
    </xf>
    <xf numFmtId="165" fontId="3" fillId="0" borderId="1" applyAlignment="1" pivotButton="0" quotePrefix="0" xfId="0">
      <alignment vertical="top" wrapText="1"/>
    </xf>
    <xf numFmtId="167" fontId="6" fillId="0" borderId="1" applyAlignment="1" pivotButton="0" quotePrefix="0" xfId="0">
      <alignment horizontal="center" vertical="center" wrapText="1"/>
    </xf>
    <xf numFmtId="0" fontId="8" fillId="0" borderId="1" applyAlignment="1" pivotButton="0" quotePrefix="0" xfId="0">
      <alignment vertical="top" wrapText="1"/>
    </xf>
    <xf numFmtId="165" fontId="4" fillId="0" borderId="1" applyAlignment="1" pivotButton="0" quotePrefix="0" xfId="0">
      <alignment vertical="top" wrapText="1"/>
    </xf>
    <xf numFmtId="166"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Disclosure score (out of 100)</a:t>
            </a:r>
          </a:p>
        </rich>
      </tx>
    </title>
    <plotArea>
      <barChart>
        <barDir val="bar"/>
        <grouping val="clustered"/>
        <ser>
          <idx val="0"/>
          <order val="0"/>
          <tx>
            <strRef>
              <f>'Scores'!L4</f>
            </strRef>
          </tx>
          <spPr>
            <a:ln xmlns:a="http://schemas.openxmlformats.org/drawingml/2006/main">
              <a:prstDash val="solid"/>
            </a:ln>
          </spPr>
          <cat>
            <numRef>
              <f>'Scores'!$A$5:$A$14</f>
            </numRef>
          </cat>
          <val>
            <numRef>
              <f>'Scores'!$L$5:$L$14</f>
            </numRef>
          </val>
        </ser>
        <gapWidth val="150"/>
        <axId val="10"/>
        <axId val="100"/>
      </barChart>
      <catAx>
        <axId val="10"/>
        <scaling>
          <orientation val="minMax"/>
        </scaling>
        <axPos val="l"/>
        <majorTickMark val="none"/>
        <minorTickMark val="none"/>
        <crossAx val="100"/>
        <lblOffset val="100"/>
      </catAx>
      <valAx>
        <axId val="100"/>
        <scaling>
          <orientation val="minMax"/>
          <max val="100"/>
          <min val="0"/>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Analyst</author>
  </authors>
  <commentList>
    <comment ref="D1" authorId="0" shapeId="0">
      <text>
        <t>ITC reports in kilotonnes and Tata Steel in million tonnes; converted to tCO2e here.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19</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hyperlink" Target="https://www.ril.com/sites/default/files/reports/BRSR202526.pdf" TargetMode="External" Id="rId1"/><Relationship Type="http://schemas.openxmlformats.org/officeDocument/2006/relationships/hyperlink" Target="https://nsearchives.nseindia.com/corporate/TCS_CORPCS_15052026234943_BRSR_signed.pdf" TargetMode="External" Id="rId2"/><Relationship Type="http://schemas.openxmlformats.org/officeDocument/2006/relationships/hyperlink" Target="https://www.infosys.com/investors/reports-filings/annual-report/annual/documents/2025-26/business-responsibility-and-sustainability-report.pdf" TargetMode="External" Id="rId3"/><Relationship Type="http://schemas.openxmlformats.org/officeDocument/2006/relationships/hyperlink" Target="https://www.hdfc.bank.in/content/dam/hdfcbankpws/in/en/personal-banking/about-us/stakeholders-information/disclosures/other-stock-exchange-disclosure/2026/july/BRSR-2025-26.pdf" TargetMode="External" Id="rId4"/><Relationship Type="http://schemas.openxmlformats.org/officeDocument/2006/relationships/hyperlink" Target="https://itcportal.com/content/dam/itc-corporate/investors/annual-report-2026/itc-r-and-a-brsr-2026.pdf" TargetMode="External" Id="rId5"/><Relationship Type="http://schemas.openxmlformats.org/officeDocument/2006/relationships/hyperlink" Target="https://nsearchives.nseindia.com/corporate/NTPC_04082026185539_20260804_STEX_INTIMATIONBRSR_Signed.pdf" TargetMode="External" Id="rId6"/><Relationship Type="http://schemas.openxmlformats.org/officeDocument/2006/relationships/hyperlink" Target="https://nsearchives.nseindia.com/corporate/ULTRACEMCO1_24072026121558_BRSR_2026_SE_Intimation.pdf" TargetMode="External" Id="rId7"/><Relationship Type="http://schemas.openxmlformats.org/officeDocument/2006/relationships/hyperlink" Target="https://investors.larsentoubro.com/pdf/2026/Business%20Responsibility%20and%20Sustainability%20Reporting%202025-26.pdf" TargetMode="External" Id="rId8"/><Relationship Type="http://schemas.openxmlformats.org/officeDocument/2006/relationships/hyperlink" Target="https://www.mahindra.com/sites/default/files/2026-07/Business%20Responsibility%20and%20Sustainability%20Report%202025-26.pdf" TargetMode="External" Id="rId9"/><Relationship Type="http://schemas.openxmlformats.org/officeDocument/2006/relationships/hyperlink" Target="https://www.tatasteel.com/media/25901/brsr.pdf" TargetMode="External" Id="rId1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BRSR Scope 1 &amp; 2 Disclosure Scorecard: 10 Nifty 50 companies, FY2025-26</t>
        </is>
      </c>
    </row>
    <row r="2">
      <c r="A2" s="2" t="inlineStr">
        <is>
          <t>Quality of greenhouse-gas disclosure in SEBI Business Responsibility &amp; Sustainability Reports</t>
        </is>
      </c>
    </row>
    <row r="3">
      <c r="A3" s="3" t="inlineStr"/>
    </row>
    <row r="4">
      <c r="A4" s="4" t="inlineStr">
        <is>
          <t>What this scores</t>
        </is>
      </c>
    </row>
    <row r="5">
      <c r="A5" s="3" t="inlineStr">
        <is>
          <t>How well each company discloses its Scope 1 and 2 emissions in its FY2025-26 BRSR (Principle 6, Essential Indicator 7, plus the Scope 3 leadership indicator). It scores disclosure quality and transparency, not emissions performance: a heavy emitter can score well if it reports clearly.</t>
        </is>
      </c>
    </row>
    <row r="6">
      <c r="A6" s="3" t="inlineStr"/>
    </row>
    <row r="7">
      <c r="A7" s="4" t="inlineStr">
        <is>
          <t>Sheets</t>
        </is>
      </c>
    </row>
    <row r="8">
      <c r="A8" s="3" t="inlineStr">
        <is>
          <t>Scores: total score out of 100, rank and grade, computed by formula from the Assessment and Rubric sheets.</t>
        </is>
      </c>
    </row>
    <row r="9">
      <c r="A9" s="3" t="inlineStr">
        <is>
          <t>Assessment: the level assigned to each company on each criterion (yellow cells, blue text = editable input), with rationale.</t>
        </is>
      </c>
    </row>
    <row r="10">
      <c r="A10" s="3" t="inlineStr">
        <is>
          <t>Rubric: the 9 criteria, their weights and the points for each level. Edit points here and all scores update.</t>
        </is>
      </c>
    </row>
    <row r="11">
      <c r="A11" s="3" t="inlineStr">
        <is>
          <t>Emissions Data: Scope 1, 2 and 3 figures as reported, year-on-year change, intensities, assurer and target, with source links.</t>
        </is>
      </c>
    </row>
    <row r="12">
      <c r="A12" s="3" t="inlineStr"/>
    </row>
    <row r="13">
      <c r="A13" s="4" t="inlineStr">
        <is>
          <t>Method</t>
        </is>
      </c>
    </row>
    <row r="14">
      <c r="A14" s="3" t="inlineStr">
        <is>
          <t>1. Sample: 10 Nifty 50 constituents across 9 sectors, weighted toward high emitters (power, cement, steel, oil) with IT, banking, FMCG, autos and engineering for contrast.</t>
        </is>
      </c>
    </row>
    <row r="15">
      <c r="A15" s="3" t="inlineStr">
        <is>
          <t>2. Source: each company's FY2025-26 BRSR as filed with NSE or published on its website (filed May-Aug 2026). Figures were extracted from the PDF text layer and checked against the GHG table of each report.</t>
        </is>
      </c>
    </row>
    <row r="16">
      <c r="A16" s="3" t="inlineStr">
        <is>
          <t>3. Scoring: 9 criteria weighted to 100 points, built from the BRSR format itself (SEBI circular, BRSR Core) and from what assurance and investor frameworks treat as decision-useful (GHG Protocol Scope 2 guidance, ISO 14064, SBTi).</t>
        </is>
      </c>
    </row>
    <row r="17">
      <c r="A17" s="3" t="inlineStr">
        <is>
          <t>4. Grades: A &gt;= 85, B 70-84, C 55-69, D &lt; 55.</t>
        </is>
      </c>
    </row>
    <row r="18">
      <c r="A18" s="3" t="inlineStr"/>
    </row>
    <row r="19">
      <c r="A19" s="4" t="inlineStr">
        <is>
          <t>Limitations</t>
        </is>
      </c>
    </row>
    <row r="20">
      <c r="A20" s="3" t="inlineStr">
        <is>
          <t>Only the BRSR document is scored. Several companies disclose more in separate ESG databooks or climate reports (e.g. Infosys gas split, Tata Steel Climate Change Report), which this scorecard deliberately does not credit, since BRSR is the regulated disclosure. Levels are analyst judgements and are documented on the Assessment sheet.</t>
        </is>
      </c>
    </row>
    <row r="21">
      <c r="A21" s="3" t="inlineStr">
        <is>
          <t>Reported units differ (tCO2e, kilotonnes, million tonnes); the Emissions Data sheet converts all to tCO2e.</t>
        </is>
      </c>
    </row>
    <row r="22">
      <c r="A22" s="3" t="inlineStr"/>
    </row>
    <row r="23">
      <c r="A23" s="2" t="inlineStr">
        <is>
          <t>Prepared by Mayank Majoka, October 2026. 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8" customWidth="1" min="13" max="13"/>
    <col width="8" customWidth="1" min="14" max="14"/>
  </cols>
  <sheetData>
    <row r="1">
      <c r="A1" s="5" t="inlineStr">
        <is>
          <t>BRSR Scope 1 &amp; 2 Disclosure Scores, FY2025-26</t>
        </is>
      </c>
    </row>
    <row r="2">
      <c r="A2" s="6" t="inlineStr">
        <is>
          <t>Out of 100. Higher = more complete, transparent and assured disclosure (not lower emissions).</t>
        </is>
      </c>
    </row>
    <row r="4" ht="32" customHeight="1">
      <c r="A4" s="7" t="inlineStr">
        <is>
          <t>Company</t>
        </is>
      </c>
      <c r="B4" s="7" t="inlineStr">
        <is>
          <t>Sector</t>
        </is>
      </c>
      <c r="C4" s="7" t="inlineStr">
        <is>
          <t>Absolute Scope 1 &amp; 2</t>
        </is>
      </c>
      <c r="D4" s="7" t="inlineStr">
        <is>
          <t>Gas-wise breakdown</t>
        </is>
      </c>
      <c r="E4" s="7" t="inlineStr">
        <is>
          <t>Intensity metrics</t>
        </is>
      </c>
      <c r="F4" s="7" t="inlineStr">
        <is>
          <t>Scope 2 method</t>
        </is>
      </c>
      <c r="G4" s="7" t="inlineStr">
        <is>
          <t>Methodology &amp; factors</t>
        </is>
      </c>
      <c r="H4" s="7" t="inlineStr">
        <is>
          <t>External assurance</t>
        </is>
      </c>
      <c r="I4" s="7" t="inlineStr">
        <is>
          <t>Boundary clarity</t>
        </is>
      </c>
      <c r="J4" s="7" t="inlineStr">
        <is>
          <t>Scope 3 (leadership)</t>
        </is>
      </c>
      <c r="K4" s="7" t="inlineStr">
        <is>
          <t>Reduction target</t>
        </is>
      </c>
      <c r="L4" s="7" t="inlineStr">
        <is>
          <t>Total (/100)</t>
        </is>
      </c>
      <c r="M4" s="7" t="inlineStr">
        <is>
          <t>Rank</t>
        </is>
      </c>
      <c r="N4" s="7" t="inlineStr">
        <is>
          <t>Grade</t>
        </is>
      </c>
    </row>
    <row r="5">
      <c r="A5" s="8">
        <f>Assessment!A2</f>
        <v/>
      </c>
      <c r="B5" s="9" t="inlineStr">
        <is>
          <t>Oil to chemicals</t>
        </is>
      </c>
      <c r="C5" s="10">
        <f>SUMIFS(Rubric!$C$2:$C$30,Rubric!$A$2:$A$30,"Absolute Scope 1 &amp; 2",Rubric!$B$2:$B$30,Assessment!B2)</f>
        <v/>
      </c>
      <c r="D5" s="10">
        <f>SUMIFS(Rubric!$C$2:$C$30,Rubric!$A$2:$A$30,"Gas-wise breakdown",Rubric!$B$2:$B$30,Assessment!C2)</f>
        <v/>
      </c>
      <c r="E5" s="10">
        <f>SUMIFS(Rubric!$C$2:$C$30,Rubric!$A$2:$A$30,"Intensity metrics",Rubric!$B$2:$B$30,Assessment!D2)</f>
        <v/>
      </c>
      <c r="F5" s="10">
        <f>SUMIFS(Rubric!$C$2:$C$30,Rubric!$A$2:$A$30,"Scope 2 method",Rubric!$B$2:$B$30,Assessment!E2)</f>
        <v/>
      </c>
      <c r="G5" s="10">
        <f>SUMIFS(Rubric!$C$2:$C$30,Rubric!$A$2:$A$30,"Methodology &amp; factors",Rubric!$B$2:$B$30,Assessment!F2)</f>
        <v/>
      </c>
      <c r="H5" s="10">
        <f>SUMIFS(Rubric!$C$2:$C$30,Rubric!$A$2:$A$30,"External assurance",Rubric!$B$2:$B$30,Assessment!G2)</f>
        <v/>
      </c>
      <c r="I5" s="10">
        <f>SUMIFS(Rubric!$C$2:$C$30,Rubric!$A$2:$A$30,"Boundary clarity",Rubric!$B$2:$B$30,Assessment!H2)</f>
        <v/>
      </c>
      <c r="J5" s="10">
        <f>SUMIFS(Rubric!$C$2:$C$30,Rubric!$A$2:$A$30,"Scope 3 (leadership)",Rubric!$B$2:$B$30,Assessment!I2)</f>
        <v/>
      </c>
      <c r="K5" s="10">
        <f>SUMIFS(Rubric!$C$2:$C$30,Rubric!$A$2:$A$30,"Reduction target",Rubric!$B$2:$B$30,Assessment!J2)</f>
        <v/>
      </c>
      <c r="L5" s="11">
        <f>SUM(C5:K5)</f>
        <v/>
      </c>
      <c r="M5" s="10">
        <f>RANK(L5,$L$5:$L$14)</f>
        <v/>
      </c>
      <c r="N5" s="11">
        <f>IF(L5&gt;=85,"A",IF(L5&gt;=70,"B",IF(L5&gt;=55,"C","D")))</f>
        <v/>
      </c>
    </row>
    <row r="6">
      <c r="A6" s="8">
        <f>Assessment!A3</f>
        <v/>
      </c>
      <c r="B6" s="9" t="inlineStr">
        <is>
          <t>IT services</t>
        </is>
      </c>
      <c r="C6" s="10">
        <f>SUMIFS(Rubric!$C$2:$C$30,Rubric!$A$2:$A$30,"Absolute Scope 1 &amp; 2",Rubric!$B$2:$B$30,Assessment!B3)</f>
        <v/>
      </c>
      <c r="D6" s="10">
        <f>SUMIFS(Rubric!$C$2:$C$30,Rubric!$A$2:$A$30,"Gas-wise breakdown",Rubric!$B$2:$B$30,Assessment!C3)</f>
        <v/>
      </c>
      <c r="E6" s="10">
        <f>SUMIFS(Rubric!$C$2:$C$30,Rubric!$A$2:$A$30,"Intensity metrics",Rubric!$B$2:$B$30,Assessment!D3)</f>
        <v/>
      </c>
      <c r="F6" s="10">
        <f>SUMIFS(Rubric!$C$2:$C$30,Rubric!$A$2:$A$30,"Scope 2 method",Rubric!$B$2:$B$30,Assessment!E3)</f>
        <v/>
      </c>
      <c r="G6" s="10">
        <f>SUMIFS(Rubric!$C$2:$C$30,Rubric!$A$2:$A$30,"Methodology &amp; factors",Rubric!$B$2:$B$30,Assessment!F3)</f>
        <v/>
      </c>
      <c r="H6" s="10">
        <f>SUMIFS(Rubric!$C$2:$C$30,Rubric!$A$2:$A$30,"External assurance",Rubric!$B$2:$B$30,Assessment!G3)</f>
        <v/>
      </c>
      <c r="I6" s="10">
        <f>SUMIFS(Rubric!$C$2:$C$30,Rubric!$A$2:$A$30,"Boundary clarity",Rubric!$B$2:$B$30,Assessment!H3)</f>
        <v/>
      </c>
      <c r="J6" s="10">
        <f>SUMIFS(Rubric!$C$2:$C$30,Rubric!$A$2:$A$30,"Scope 3 (leadership)",Rubric!$B$2:$B$30,Assessment!I3)</f>
        <v/>
      </c>
      <c r="K6" s="10">
        <f>SUMIFS(Rubric!$C$2:$C$30,Rubric!$A$2:$A$30,"Reduction target",Rubric!$B$2:$B$30,Assessment!J3)</f>
        <v/>
      </c>
      <c r="L6" s="11">
        <f>SUM(C6:K6)</f>
        <v/>
      </c>
      <c r="M6" s="10">
        <f>RANK(L6,$L$5:$L$14)</f>
        <v/>
      </c>
      <c r="N6" s="11">
        <f>IF(L6&gt;=85,"A",IF(L6&gt;=70,"B",IF(L6&gt;=55,"C","D")))</f>
        <v/>
      </c>
    </row>
    <row r="7">
      <c r="A7" s="8">
        <f>Assessment!A4</f>
        <v/>
      </c>
      <c r="B7" s="9" t="inlineStr">
        <is>
          <t>IT services</t>
        </is>
      </c>
      <c r="C7" s="10">
        <f>SUMIFS(Rubric!$C$2:$C$30,Rubric!$A$2:$A$30,"Absolute Scope 1 &amp; 2",Rubric!$B$2:$B$30,Assessment!B4)</f>
        <v/>
      </c>
      <c r="D7" s="10">
        <f>SUMIFS(Rubric!$C$2:$C$30,Rubric!$A$2:$A$30,"Gas-wise breakdown",Rubric!$B$2:$B$30,Assessment!C4)</f>
        <v/>
      </c>
      <c r="E7" s="10">
        <f>SUMIFS(Rubric!$C$2:$C$30,Rubric!$A$2:$A$30,"Intensity metrics",Rubric!$B$2:$B$30,Assessment!D4)</f>
        <v/>
      </c>
      <c r="F7" s="10">
        <f>SUMIFS(Rubric!$C$2:$C$30,Rubric!$A$2:$A$30,"Scope 2 method",Rubric!$B$2:$B$30,Assessment!E4)</f>
        <v/>
      </c>
      <c r="G7" s="10">
        <f>SUMIFS(Rubric!$C$2:$C$30,Rubric!$A$2:$A$30,"Methodology &amp; factors",Rubric!$B$2:$B$30,Assessment!F4)</f>
        <v/>
      </c>
      <c r="H7" s="10">
        <f>SUMIFS(Rubric!$C$2:$C$30,Rubric!$A$2:$A$30,"External assurance",Rubric!$B$2:$B$30,Assessment!G4)</f>
        <v/>
      </c>
      <c r="I7" s="10">
        <f>SUMIFS(Rubric!$C$2:$C$30,Rubric!$A$2:$A$30,"Boundary clarity",Rubric!$B$2:$B$30,Assessment!H4)</f>
        <v/>
      </c>
      <c r="J7" s="10">
        <f>SUMIFS(Rubric!$C$2:$C$30,Rubric!$A$2:$A$30,"Scope 3 (leadership)",Rubric!$B$2:$B$30,Assessment!I4)</f>
        <v/>
      </c>
      <c r="K7" s="10">
        <f>SUMIFS(Rubric!$C$2:$C$30,Rubric!$A$2:$A$30,"Reduction target",Rubric!$B$2:$B$30,Assessment!J4)</f>
        <v/>
      </c>
      <c r="L7" s="11">
        <f>SUM(C7:K7)</f>
        <v/>
      </c>
      <c r="M7" s="10">
        <f>RANK(L7,$L$5:$L$14)</f>
        <v/>
      </c>
      <c r="N7" s="11">
        <f>IF(L7&gt;=85,"A",IF(L7&gt;=70,"B",IF(L7&gt;=55,"C","D")))</f>
        <v/>
      </c>
    </row>
    <row r="8">
      <c r="A8" s="8">
        <f>Assessment!A5</f>
        <v/>
      </c>
      <c r="B8" s="9" t="inlineStr">
        <is>
          <t>Banking</t>
        </is>
      </c>
      <c r="C8" s="10">
        <f>SUMIFS(Rubric!$C$2:$C$30,Rubric!$A$2:$A$30,"Absolute Scope 1 &amp; 2",Rubric!$B$2:$B$30,Assessment!B5)</f>
        <v/>
      </c>
      <c r="D8" s="10">
        <f>SUMIFS(Rubric!$C$2:$C$30,Rubric!$A$2:$A$30,"Gas-wise breakdown",Rubric!$B$2:$B$30,Assessment!C5)</f>
        <v/>
      </c>
      <c r="E8" s="10">
        <f>SUMIFS(Rubric!$C$2:$C$30,Rubric!$A$2:$A$30,"Intensity metrics",Rubric!$B$2:$B$30,Assessment!D5)</f>
        <v/>
      </c>
      <c r="F8" s="10">
        <f>SUMIFS(Rubric!$C$2:$C$30,Rubric!$A$2:$A$30,"Scope 2 method",Rubric!$B$2:$B$30,Assessment!E5)</f>
        <v/>
      </c>
      <c r="G8" s="10">
        <f>SUMIFS(Rubric!$C$2:$C$30,Rubric!$A$2:$A$30,"Methodology &amp; factors",Rubric!$B$2:$B$30,Assessment!F5)</f>
        <v/>
      </c>
      <c r="H8" s="10">
        <f>SUMIFS(Rubric!$C$2:$C$30,Rubric!$A$2:$A$30,"External assurance",Rubric!$B$2:$B$30,Assessment!G5)</f>
        <v/>
      </c>
      <c r="I8" s="10">
        <f>SUMIFS(Rubric!$C$2:$C$30,Rubric!$A$2:$A$30,"Boundary clarity",Rubric!$B$2:$B$30,Assessment!H5)</f>
        <v/>
      </c>
      <c r="J8" s="10">
        <f>SUMIFS(Rubric!$C$2:$C$30,Rubric!$A$2:$A$30,"Scope 3 (leadership)",Rubric!$B$2:$B$30,Assessment!I5)</f>
        <v/>
      </c>
      <c r="K8" s="10">
        <f>SUMIFS(Rubric!$C$2:$C$30,Rubric!$A$2:$A$30,"Reduction target",Rubric!$B$2:$B$30,Assessment!J5)</f>
        <v/>
      </c>
      <c r="L8" s="11">
        <f>SUM(C8:K8)</f>
        <v/>
      </c>
      <c r="M8" s="10">
        <f>RANK(L8,$L$5:$L$14)</f>
        <v/>
      </c>
      <c r="N8" s="11">
        <f>IF(L8&gt;=85,"A",IF(L8&gt;=70,"B",IF(L8&gt;=55,"C","D")))</f>
        <v/>
      </c>
    </row>
    <row r="9">
      <c r="A9" s="8">
        <f>Assessment!A6</f>
        <v/>
      </c>
      <c r="B9" s="9" t="inlineStr">
        <is>
          <t>FMCG / conglomerate</t>
        </is>
      </c>
      <c r="C9" s="10">
        <f>SUMIFS(Rubric!$C$2:$C$30,Rubric!$A$2:$A$30,"Absolute Scope 1 &amp; 2",Rubric!$B$2:$B$30,Assessment!B6)</f>
        <v/>
      </c>
      <c r="D9" s="10">
        <f>SUMIFS(Rubric!$C$2:$C$30,Rubric!$A$2:$A$30,"Gas-wise breakdown",Rubric!$B$2:$B$30,Assessment!C6)</f>
        <v/>
      </c>
      <c r="E9" s="10">
        <f>SUMIFS(Rubric!$C$2:$C$30,Rubric!$A$2:$A$30,"Intensity metrics",Rubric!$B$2:$B$30,Assessment!D6)</f>
        <v/>
      </c>
      <c r="F9" s="10">
        <f>SUMIFS(Rubric!$C$2:$C$30,Rubric!$A$2:$A$30,"Scope 2 method",Rubric!$B$2:$B$30,Assessment!E6)</f>
        <v/>
      </c>
      <c r="G9" s="10">
        <f>SUMIFS(Rubric!$C$2:$C$30,Rubric!$A$2:$A$30,"Methodology &amp; factors",Rubric!$B$2:$B$30,Assessment!F6)</f>
        <v/>
      </c>
      <c r="H9" s="10">
        <f>SUMIFS(Rubric!$C$2:$C$30,Rubric!$A$2:$A$30,"External assurance",Rubric!$B$2:$B$30,Assessment!G6)</f>
        <v/>
      </c>
      <c r="I9" s="10">
        <f>SUMIFS(Rubric!$C$2:$C$30,Rubric!$A$2:$A$30,"Boundary clarity",Rubric!$B$2:$B$30,Assessment!H6)</f>
        <v/>
      </c>
      <c r="J9" s="10">
        <f>SUMIFS(Rubric!$C$2:$C$30,Rubric!$A$2:$A$30,"Scope 3 (leadership)",Rubric!$B$2:$B$30,Assessment!I6)</f>
        <v/>
      </c>
      <c r="K9" s="10">
        <f>SUMIFS(Rubric!$C$2:$C$30,Rubric!$A$2:$A$30,"Reduction target",Rubric!$B$2:$B$30,Assessment!J6)</f>
        <v/>
      </c>
      <c r="L9" s="11">
        <f>SUM(C9:K9)</f>
        <v/>
      </c>
      <c r="M9" s="10">
        <f>RANK(L9,$L$5:$L$14)</f>
        <v/>
      </c>
      <c r="N9" s="11">
        <f>IF(L9&gt;=85,"A",IF(L9&gt;=70,"B",IF(L9&gt;=55,"C","D")))</f>
        <v/>
      </c>
    </row>
    <row r="10">
      <c r="A10" s="8">
        <f>Assessment!A7</f>
        <v/>
      </c>
      <c r="B10" s="9" t="inlineStr">
        <is>
          <t>Power generation</t>
        </is>
      </c>
      <c r="C10" s="10">
        <f>SUMIFS(Rubric!$C$2:$C$30,Rubric!$A$2:$A$30,"Absolute Scope 1 &amp; 2",Rubric!$B$2:$B$30,Assessment!B7)</f>
        <v/>
      </c>
      <c r="D10" s="10">
        <f>SUMIFS(Rubric!$C$2:$C$30,Rubric!$A$2:$A$30,"Gas-wise breakdown",Rubric!$B$2:$B$30,Assessment!C7)</f>
        <v/>
      </c>
      <c r="E10" s="10">
        <f>SUMIFS(Rubric!$C$2:$C$30,Rubric!$A$2:$A$30,"Intensity metrics",Rubric!$B$2:$B$30,Assessment!D7)</f>
        <v/>
      </c>
      <c r="F10" s="10">
        <f>SUMIFS(Rubric!$C$2:$C$30,Rubric!$A$2:$A$30,"Scope 2 method",Rubric!$B$2:$B$30,Assessment!E7)</f>
        <v/>
      </c>
      <c r="G10" s="10">
        <f>SUMIFS(Rubric!$C$2:$C$30,Rubric!$A$2:$A$30,"Methodology &amp; factors",Rubric!$B$2:$B$30,Assessment!F7)</f>
        <v/>
      </c>
      <c r="H10" s="10">
        <f>SUMIFS(Rubric!$C$2:$C$30,Rubric!$A$2:$A$30,"External assurance",Rubric!$B$2:$B$30,Assessment!G7)</f>
        <v/>
      </c>
      <c r="I10" s="10">
        <f>SUMIFS(Rubric!$C$2:$C$30,Rubric!$A$2:$A$30,"Boundary clarity",Rubric!$B$2:$B$30,Assessment!H7)</f>
        <v/>
      </c>
      <c r="J10" s="10">
        <f>SUMIFS(Rubric!$C$2:$C$30,Rubric!$A$2:$A$30,"Scope 3 (leadership)",Rubric!$B$2:$B$30,Assessment!I7)</f>
        <v/>
      </c>
      <c r="K10" s="10">
        <f>SUMIFS(Rubric!$C$2:$C$30,Rubric!$A$2:$A$30,"Reduction target",Rubric!$B$2:$B$30,Assessment!J7)</f>
        <v/>
      </c>
      <c r="L10" s="11">
        <f>SUM(C10:K10)</f>
        <v/>
      </c>
      <c r="M10" s="10">
        <f>RANK(L10,$L$5:$L$14)</f>
        <v/>
      </c>
      <c r="N10" s="11">
        <f>IF(L10&gt;=85,"A",IF(L10&gt;=70,"B",IF(L10&gt;=55,"C","D")))</f>
        <v/>
      </c>
    </row>
    <row r="11">
      <c r="A11" s="8">
        <f>Assessment!A8</f>
        <v/>
      </c>
      <c r="B11" s="9" t="inlineStr">
        <is>
          <t>Cement</t>
        </is>
      </c>
      <c r="C11" s="10">
        <f>SUMIFS(Rubric!$C$2:$C$30,Rubric!$A$2:$A$30,"Absolute Scope 1 &amp; 2",Rubric!$B$2:$B$30,Assessment!B8)</f>
        <v/>
      </c>
      <c r="D11" s="10">
        <f>SUMIFS(Rubric!$C$2:$C$30,Rubric!$A$2:$A$30,"Gas-wise breakdown",Rubric!$B$2:$B$30,Assessment!C8)</f>
        <v/>
      </c>
      <c r="E11" s="10">
        <f>SUMIFS(Rubric!$C$2:$C$30,Rubric!$A$2:$A$30,"Intensity metrics",Rubric!$B$2:$B$30,Assessment!D8)</f>
        <v/>
      </c>
      <c r="F11" s="10">
        <f>SUMIFS(Rubric!$C$2:$C$30,Rubric!$A$2:$A$30,"Scope 2 method",Rubric!$B$2:$B$30,Assessment!E8)</f>
        <v/>
      </c>
      <c r="G11" s="10">
        <f>SUMIFS(Rubric!$C$2:$C$30,Rubric!$A$2:$A$30,"Methodology &amp; factors",Rubric!$B$2:$B$30,Assessment!F8)</f>
        <v/>
      </c>
      <c r="H11" s="10">
        <f>SUMIFS(Rubric!$C$2:$C$30,Rubric!$A$2:$A$30,"External assurance",Rubric!$B$2:$B$30,Assessment!G8)</f>
        <v/>
      </c>
      <c r="I11" s="10">
        <f>SUMIFS(Rubric!$C$2:$C$30,Rubric!$A$2:$A$30,"Boundary clarity",Rubric!$B$2:$B$30,Assessment!H8)</f>
        <v/>
      </c>
      <c r="J11" s="10">
        <f>SUMIFS(Rubric!$C$2:$C$30,Rubric!$A$2:$A$30,"Scope 3 (leadership)",Rubric!$B$2:$B$30,Assessment!I8)</f>
        <v/>
      </c>
      <c r="K11" s="10">
        <f>SUMIFS(Rubric!$C$2:$C$30,Rubric!$A$2:$A$30,"Reduction target",Rubric!$B$2:$B$30,Assessment!J8)</f>
        <v/>
      </c>
      <c r="L11" s="11">
        <f>SUM(C11:K11)</f>
        <v/>
      </c>
      <c r="M11" s="10">
        <f>RANK(L11,$L$5:$L$14)</f>
        <v/>
      </c>
      <c r="N11" s="11">
        <f>IF(L11&gt;=85,"A",IF(L11&gt;=70,"B",IF(L11&gt;=55,"C","D")))</f>
        <v/>
      </c>
    </row>
    <row r="12">
      <c r="A12" s="8">
        <f>Assessment!A9</f>
        <v/>
      </c>
      <c r="B12" s="9" t="inlineStr">
        <is>
          <t>Engineering &amp; construction</t>
        </is>
      </c>
      <c r="C12" s="10">
        <f>SUMIFS(Rubric!$C$2:$C$30,Rubric!$A$2:$A$30,"Absolute Scope 1 &amp; 2",Rubric!$B$2:$B$30,Assessment!B9)</f>
        <v/>
      </c>
      <c r="D12" s="10">
        <f>SUMIFS(Rubric!$C$2:$C$30,Rubric!$A$2:$A$30,"Gas-wise breakdown",Rubric!$B$2:$B$30,Assessment!C9)</f>
        <v/>
      </c>
      <c r="E12" s="10">
        <f>SUMIFS(Rubric!$C$2:$C$30,Rubric!$A$2:$A$30,"Intensity metrics",Rubric!$B$2:$B$30,Assessment!D9)</f>
        <v/>
      </c>
      <c r="F12" s="10">
        <f>SUMIFS(Rubric!$C$2:$C$30,Rubric!$A$2:$A$30,"Scope 2 method",Rubric!$B$2:$B$30,Assessment!E9)</f>
        <v/>
      </c>
      <c r="G12" s="10">
        <f>SUMIFS(Rubric!$C$2:$C$30,Rubric!$A$2:$A$30,"Methodology &amp; factors",Rubric!$B$2:$B$30,Assessment!F9)</f>
        <v/>
      </c>
      <c r="H12" s="10">
        <f>SUMIFS(Rubric!$C$2:$C$30,Rubric!$A$2:$A$30,"External assurance",Rubric!$B$2:$B$30,Assessment!G9)</f>
        <v/>
      </c>
      <c r="I12" s="10">
        <f>SUMIFS(Rubric!$C$2:$C$30,Rubric!$A$2:$A$30,"Boundary clarity",Rubric!$B$2:$B$30,Assessment!H9)</f>
        <v/>
      </c>
      <c r="J12" s="10">
        <f>SUMIFS(Rubric!$C$2:$C$30,Rubric!$A$2:$A$30,"Scope 3 (leadership)",Rubric!$B$2:$B$30,Assessment!I9)</f>
        <v/>
      </c>
      <c r="K12" s="10">
        <f>SUMIFS(Rubric!$C$2:$C$30,Rubric!$A$2:$A$30,"Reduction target",Rubric!$B$2:$B$30,Assessment!J9)</f>
        <v/>
      </c>
      <c r="L12" s="11">
        <f>SUM(C12:K12)</f>
        <v/>
      </c>
      <c r="M12" s="10">
        <f>RANK(L12,$L$5:$L$14)</f>
        <v/>
      </c>
      <c r="N12" s="11">
        <f>IF(L12&gt;=85,"A",IF(L12&gt;=70,"B",IF(L12&gt;=55,"C","D")))</f>
        <v/>
      </c>
    </row>
    <row r="13">
      <c r="A13" s="8">
        <f>Assessment!A10</f>
        <v/>
      </c>
      <c r="B13" s="9" t="inlineStr">
        <is>
          <t>Automobiles</t>
        </is>
      </c>
      <c r="C13" s="10">
        <f>SUMIFS(Rubric!$C$2:$C$30,Rubric!$A$2:$A$30,"Absolute Scope 1 &amp; 2",Rubric!$B$2:$B$30,Assessment!B10)</f>
        <v/>
      </c>
      <c r="D13" s="10">
        <f>SUMIFS(Rubric!$C$2:$C$30,Rubric!$A$2:$A$30,"Gas-wise breakdown",Rubric!$B$2:$B$30,Assessment!C10)</f>
        <v/>
      </c>
      <c r="E13" s="10">
        <f>SUMIFS(Rubric!$C$2:$C$30,Rubric!$A$2:$A$30,"Intensity metrics",Rubric!$B$2:$B$30,Assessment!D10)</f>
        <v/>
      </c>
      <c r="F13" s="10">
        <f>SUMIFS(Rubric!$C$2:$C$30,Rubric!$A$2:$A$30,"Scope 2 method",Rubric!$B$2:$B$30,Assessment!E10)</f>
        <v/>
      </c>
      <c r="G13" s="10">
        <f>SUMIFS(Rubric!$C$2:$C$30,Rubric!$A$2:$A$30,"Methodology &amp; factors",Rubric!$B$2:$B$30,Assessment!F10)</f>
        <v/>
      </c>
      <c r="H13" s="10">
        <f>SUMIFS(Rubric!$C$2:$C$30,Rubric!$A$2:$A$30,"External assurance",Rubric!$B$2:$B$30,Assessment!G10)</f>
        <v/>
      </c>
      <c r="I13" s="10">
        <f>SUMIFS(Rubric!$C$2:$C$30,Rubric!$A$2:$A$30,"Boundary clarity",Rubric!$B$2:$B$30,Assessment!H10)</f>
        <v/>
      </c>
      <c r="J13" s="10">
        <f>SUMIFS(Rubric!$C$2:$C$30,Rubric!$A$2:$A$30,"Scope 3 (leadership)",Rubric!$B$2:$B$30,Assessment!I10)</f>
        <v/>
      </c>
      <c r="K13" s="10">
        <f>SUMIFS(Rubric!$C$2:$C$30,Rubric!$A$2:$A$30,"Reduction target",Rubric!$B$2:$B$30,Assessment!J10)</f>
        <v/>
      </c>
      <c r="L13" s="11">
        <f>SUM(C13:K13)</f>
        <v/>
      </c>
      <c r="M13" s="10">
        <f>RANK(L13,$L$5:$L$14)</f>
        <v/>
      </c>
      <c r="N13" s="11">
        <f>IF(L13&gt;=85,"A",IF(L13&gt;=70,"B",IF(L13&gt;=55,"C","D")))</f>
        <v/>
      </c>
    </row>
    <row r="14">
      <c r="A14" s="8">
        <f>Assessment!A11</f>
        <v/>
      </c>
      <c r="B14" s="9" t="inlineStr">
        <is>
          <t>Steel</t>
        </is>
      </c>
      <c r="C14" s="10">
        <f>SUMIFS(Rubric!$C$2:$C$30,Rubric!$A$2:$A$30,"Absolute Scope 1 &amp; 2",Rubric!$B$2:$B$30,Assessment!B11)</f>
        <v/>
      </c>
      <c r="D14" s="10">
        <f>SUMIFS(Rubric!$C$2:$C$30,Rubric!$A$2:$A$30,"Gas-wise breakdown",Rubric!$B$2:$B$30,Assessment!C11)</f>
        <v/>
      </c>
      <c r="E14" s="10">
        <f>SUMIFS(Rubric!$C$2:$C$30,Rubric!$A$2:$A$30,"Intensity metrics",Rubric!$B$2:$B$30,Assessment!D11)</f>
        <v/>
      </c>
      <c r="F14" s="10">
        <f>SUMIFS(Rubric!$C$2:$C$30,Rubric!$A$2:$A$30,"Scope 2 method",Rubric!$B$2:$B$30,Assessment!E11)</f>
        <v/>
      </c>
      <c r="G14" s="10">
        <f>SUMIFS(Rubric!$C$2:$C$30,Rubric!$A$2:$A$30,"Methodology &amp; factors",Rubric!$B$2:$B$30,Assessment!F11)</f>
        <v/>
      </c>
      <c r="H14" s="10">
        <f>SUMIFS(Rubric!$C$2:$C$30,Rubric!$A$2:$A$30,"External assurance",Rubric!$B$2:$B$30,Assessment!G11)</f>
        <v/>
      </c>
      <c r="I14" s="10">
        <f>SUMIFS(Rubric!$C$2:$C$30,Rubric!$A$2:$A$30,"Boundary clarity",Rubric!$B$2:$B$30,Assessment!H11)</f>
        <v/>
      </c>
      <c r="J14" s="10">
        <f>SUMIFS(Rubric!$C$2:$C$30,Rubric!$A$2:$A$30,"Scope 3 (leadership)",Rubric!$B$2:$B$30,Assessment!I11)</f>
        <v/>
      </c>
      <c r="K14" s="10">
        <f>SUMIFS(Rubric!$C$2:$C$30,Rubric!$A$2:$A$30,"Reduction target",Rubric!$B$2:$B$30,Assessment!J11)</f>
        <v/>
      </c>
      <c r="L14" s="11">
        <f>SUM(C14:K14)</f>
        <v/>
      </c>
      <c r="M14" s="10">
        <f>RANK(L14,$L$5:$L$14)</f>
        <v/>
      </c>
      <c r="N14" s="11">
        <f>IF(L14&gt;=85,"A",IF(L14&gt;=70,"B",IF(L14&gt;=55,"C","D")))</f>
        <v/>
      </c>
    </row>
    <row r="15">
      <c r="A15" s="12" t="inlineStr">
        <is>
          <t>Average</t>
        </is>
      </c>
      <c r="B15" s="9" t="inlineStr"/>
      <c r="C15" s="13">
        <f>AVERAGE(C5:C14)</f>
        <v/>
      </c>
      <c r="D15" s="13">
        <f>AVERAGE(D5:D14)</f>
        <v/>
      </c>
      <c r="E15" s="13">
        <f>AVERAGE(E5:E14)</f>
        <v/>
      </c>
      <c r="F15" s="13">
        <f>AVERAGE(F5:F14)</f>
        <v/>
      </c>
      <c r="G15" s="13">
        <f>AVERAGE(G5:G14)</f>
        <v/>
      </c>
      <c r="H15" s="13">
        <f>AVERAGE(H5:H14)</f>
        <v/>
      </c>
      <c r="I15" s="13">
        <f>AVERAGE(I5:I14)</f>
        <v/>
      </c>
      <c r="J15" s="13">
        <f>AVERAGE(J5:J14)</f>
        <v/>
      </c>
      <c r="K15" s="13">
        <f>AVERAGE(K5:K14)</f>
        <v/>
      </c>
      <c r="L15" s="13">
        <f>AVERAGE(L5:L14)</f>
        <v/>
      </c>
    </row>
    <row r="16">
      <c r="A16" s="12" t="inlineStr">
        <is>
          <t>Maximum possible</t>
        </is>
      </c>
      <c r="B16" s="9" t="inlineStr"/>
      <c r="C16" s="10">
        <f>SUMIFS(Rubric!$D$2:$D$30,Rubric!$A$2:$A$30,"Absolute Scope 1 &amp; 2")</f>
        <v/>
      </c>
      <c r="D16" s="10">
        <f>SUMIFS(Rubric!$D$2:$D$30,Rubric!$A$2:$A$30,"Gas-wise breakdown")</f>
        <v/>
      </c>
      <c r="E16" s="10">
        <f>SUMIFS(Rubric!$D$2:$D$30,Rubric!$A$2:$A$30,"Intensity metrics")</f>
        <v/>
      </c>
      <c r="F16" s="10">
        <f>SUMIFS(Rubric!$D$2:$D$30,Rubric!$A$2:$A$30,"Scope 2 method")</f>
        <v/>
      </c>
      <c r="G16" s="10">
        <f>SUMIFS(Rubric!$D$2:$D$30,Rubric!$A$2:$A$30,"Methodology &amp; factors")</f>
        <v/>
      </c>
      <c r="H16" s="10">
        <f>SUMIFS(Rubric!$D$2:$D$30,Rubric!$A$2:$A$30,"External assurance")</f>
        <v/>
      </c>
      <c r="I16" s="10">
        <f>SUMIFS(Rubric!$D$2:$D$30,Rubric!$A$2:$A$30,"Boundary clarity")</f>
        <v/>
      </c>
      <c r="J16" s="10">
        <f>SUMIFS(Rubric!$D$2:$D$30,Rubric!$A$2:$A$30,"Scope 3 (leadership)")</f>
        <v/>
      </c>
      <c r="K16" s="10">
        <f>SUMIFS(Rubric!$D$2:$D$30,Rubric!$A$2:$A$30,"Reduction target")</f>
        <v/>
      </c>
      <c r="L16" s="10">
        <f>Rubric!D32</f>
        <v/>
      </c>
    </row>
    <row r="17">
      <c r="A17" s="12" t="inlineStr">
        <is>
          <t>Average as % of max</t>
        </is>
      </c>
      <c r="B17" s="9" t="inlineStr"/>
      <c r="C17" s="14">
        <f>IF(C16=0,0,C15/C16)</f>
        <v/>
      </c>
      <c r="D17" s="14">
        <f>IF(D16=0,0,D15/D16)</f>
        <v/>
      </c>
      <c r="E17" s="14">
        <f>IF(E16=0,0,E15/E16)</f>
        <v/>
      </c>
      <c r="F17" s="14">
        <f>IF(F16=0,0,F15/F16)</f>
        <v/>
      </c>
      <c r="G17" s="14">
        <f>IF(G16=0,0,G15/G16)</f>
        <v/>
      </c>
      <c r="H17" s="14">
        <f>IF(H16=0,0,H15/H16)</f>
        <v/>
      </c>
      <c r="I17" s="14">
        <f>IF(I16=0,0,I15/I16)</f>
        <v/>
      </c>
      <c r="J17" s="14">
        <f>IF(J16=0,0,J15/J16)</f>
        <v/>
      </c>
      <c r="K17" s="14">
        <f>IF(K16=0,0,K15/K16)</f>
        <v/>
      </c>
      <c r="L17" s="14">
        <f>IF(L16=0,0,L15/L16)</f>
        <v/>
      </c>
    </row>
  </sheetData>
  <conditionalFormatting sqref="L5:L14">
    <cfRule type="colorScale" priority="1">
      <colorScale>
        <cfvo type="num" val="40"/>
        <cfvo type="num" val="70"/>
        <cfvo type="num" val="100"/>
        <color rgb="00F8D7DA"/>
        <color rgb="00FFF3CD"/>
        <color rgb="00D4EDDA"/>
      </colorScale>
    </cfRule>
  </conditionalFormatting>
  <conditionalFormatting sqref="C17:K17">
    <cfRule type="colorScale" priority="2">
      <colorScale>
        <cfvo type="num" val="0"/>
        <cfvo type="num" val="1"/>
        <color rgb="00F8D7DA"/>
        <color rgb="00D4EDDA"/>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0" customWidth="1" min="3" max="3"/>
    <col width="12" customWidth="1" min="4" max="4"/>
    <col width="80" customWidth="1" min="5" max="5"/>
  </cols>
  <sheetData>
    <row r="1" ht="32" customHeight="1">
      <c r="A1" s="7" t="inlineStr">
        <is>
          <t>Criterion</t>
        </is>
      </c>
      <c r="B1" s="7" t="inlineStr">
        <is>
          <t>Level</t>
        </is>
      </c>
      <c r="C1" s="7" t="inlineStr">
        <is>
          <t>Points</t>
        </is>
      </c>
      <c r="D1" s="7" t="inlineStr">
        <is>
          <t>Max points</t>
        </is>
      </c>
      <c r="E1" s="7" t="inlineStr">
        <is>
          <t>What it measures</t>
        </is>
      </c>
    </row>
    <row r="2">
      <c r="A2" s="9" t="inlineStr">
        <is>
          <t>Absolute Scope 1 &amp; 2</t>
        </is>
      </c>
      <c r="B2" s="9" t="inlineStr">
        <is>
          <t>Full</t>
        </is>
      </c>
      <c r="C2" s="15" t="n">
        <v>15</v>
      </c>
      <c r="D2" s="10" t="n">
        <v>15</v>
      </c>
      <c r="E2" s="9" t="inlineStr">
        <is>
          <t>Scope 1 and Scope 2 reported in tCO2e for current and prior year at usable precision</t>
        </is>
      </c>
    </row>
    <row r="3">
      <c r="A3" s="9" t="inlineStr">
        <is>
          <t>Absolute Scope 1 &amp; 2</t>
        </is>
      </c>
      <c r="B3" s="9" t="inlineStr">
        <is>
          <t>Rounded</t>
        </is>
      </c>
      <c r="C3" s="15" t="n">
        <v>12</v>
      </c>
      <c r="D3" s="10" t="n"/>
      <c r="E3" s="9" t="n"/>
    </row>
    <row r="4">
      <c r="A4" s="9" t="inlineStr">
        <is>
          <t>Absolute Scope 1 &amp; 2</t>
        </is>
      </c>
      <c r="B4" s="9" t="inlineStr">
        <is>
          <t>Partial</t>
        </is>
      </c>
      <c r="C4" s="15" t="n">
        <v>7</v>
      </c>
      <c r="D4" s="10" t="n"/>
      <c r="E4" s="9" t="n"/>
    </row>
    <row r="5">
      <c r="A5" s="9" t="inlineStr">
        <is>
          <t>Absolute Scope 1 &amp; 2</t>
        </is>
      </c>
      <c r="B5" s="9" t="inlineStr">
        <is>
          <t>Missing</t>
        </is>
      </c>
      <c r="C5" s="15" t="n">
        <v>0</v>
      </c>
      <c r="D5" s="10" t="n"/>
      <c r="E5" s="9" t="n"/>
    </row>
    <row r="6">
      <c r="A6" s="9" t="inlineStr">
        <is>
          <t>Gas-wise breakdown</t>
        </is>
      </c>
      <c r="B6" s="9" t="inlineStr">
        <is>
          <t>Full</t>
        </is>
      </c>
      <c r="C6" s="15" t="n">
        <v>10</v>
      </c>
      <c r="D6" s="10" t="n">
        <v>10</v>
      </c>
      <c r="E6" s="9" t="inlineStr">
        <is>
          <t>Break-up into CO2, CH4, N2O, HFCs etc., as the BRSR format requests 'if available'</t>
        </is>
      </c>
    </row>
    <row r="7">
      <c r="A7" s="9" t="inlineStr">
        <is>
          <t>Gas-wise breakdown</t>
        </is>
      </c>
      <c r="B7" s="9" t="inlineStr">
        <is>
          <t>Partial</t>
        </is>
      </c>
      <c r="C7" s="15" t="n">
        <v>5</v>
      </c>
      <c r="D7" s="10" t="n"/>
      <c r="E7" s="9" t="n"/>
    </row>
    <row r="8">
      <c r="A8" s="9" t="inlineStr">
        <is>
          <t>Gas-wise breakdown</t>
        </is>
      </c>
      <c r="B8" s="9" t="inlineStr">
        <is>
          <t>None</t>
        </is>
      </c>
      <c r="C8" s="15" t="n">
        <v>0</v>
      </c>
      <c r="D8" s="10" t="n"/>
      <c r="E8" s="9" t="n"/>
    </row>
    <row r="9">
      <c r="A9" s="9" t="inlineStr">
        <is>
          <t>Intensity metrics</t>
        </is>
      </c>
      <c r="B9" s="9" t="inlineStr">
        <is>
          <t>All three</t>
        </is>
      </c>
      <c r="C9" s="15" t="n">
        <v>15</v>
      </c>
      <c r="D9" s="10" t="n">
        <v>15</v>
      </c>
      <c r="E9" s="9" t="inlineStr">
        <is>
          <t>Per rupee of turnover, PPP-adjusted, and physical-output intensity (5 points each)</t>
        </is>
      </c>
    </row>
    <row r="10">
      <c r="A10" s="9" t="inlineStr">
        <is>
          <t>Intensity metrics</t>
        </is>
      </c>
      <c r="B10" s="9" t="inlineStr">
        <is>
          <t>Two</t>
        </is>
      </c>
      <c r="C10" s="15" t="n">
        <v>10</v>
      </c>
      <c r="D10" s="10" t="n"/>
      <c r="E10" s="9" t="n"/>
    </row>
    <row r="11">
      <c r="A11" s="9" t="inlineStr">
        <is>
          <t>Intensity metrics</t>
        </is>
      </c>
      <c r="B11" s="9" t="inlineStr">
        <is>
          <t>One</t>
        </is>
      </c>
      <c r="C11" s="15" t="n">
        <v>5</v>
      </c>
      <c r="D11" s="10" t="n"/>
      <c r="E11" s="9" t="n"/>
    </row>
    <row r="12">
      <c r="A12" s="9" t="inlineStr">
        <is>
          <t>Intensity metrics</t>
        </is>
      </c>
      <c r="B12" s="9" t="inlineStr">
        <is>
          <t>None</t>
        </is>
      </c>
      <c r="C12" s="15" t="n">
        <v>0</v>
      </c>
      <c r="D12" s="10" t="n"/>
      <c r="E12" s="9" t="n"/>
    </row>
    <row r="13">
      <c r="A13" s="9" t="inlineStr">
        <is>
          <t>Scope 2 method</t>
        </is>
      </c>
      <c r="B13" s="9" t="inlineStr">
        <is>
          <t>Both</t>
        </is>
      </c>
      <c r="C13" s="15" t="n">
        <v>10</v>
      </c>
      <c r="D13" s="10" t="n">
        <v>10</v>
      </c>
      <c r="E13" s="9" t="inlineStr">
        <is>
          <t>States market- vs location-based; full marks when both figures are given</t>
        </is>
      </c>
    </row>
    <row r="14">
      <c r="A14" s="9" t="inlineStr">
        <is>
          <t>Scope 2 method</t>
        </is>
      </c>
      <c r="B14" s="9" t="inlineStr">
        <is>
          <t>One stated</t>
        </is>
      </c>
      <c r="C14" s="15" t="n">
        <v>5</v>
      </c>
      <c r="D14" s="10" t="n"/>
      <c r="E14" s="9" t="n"/>
    </row>
    <row r="15">
      <c r="A15" s="9" t="inlineStr">
        <is>
          <t>Scope 2 method</t>
        </is>
      </c>
      <c r="B15" s="9" t="inlineStr">
        <is>
          <t>Not stated</t>
        </is>
      </c>
      <c r="C15" s="15" t="n">
        <v>0</v>
      </c>
      <c r="D15" s="10" t="n"/>
      <c r="E15" s="9" t="n"/>
    </row>
    <row r="16">
      <c r="A16" s="9" t="inlineStr">
        <is>
          <t>Methodology &amp; factors</t>
        </is>
      </c>
      <c r="B16" s="9" t="inlineStr">
        <is>
          <t>Stated</t>
        </is>
      </c>
      <c r="C16" s="15" t="n">
        <v>10</v>
      </c>
      <c r="D16" s="10" t="n">
        <v>10</v>
      </c>
      <c r="E16" s="9" t="inlineStr">
        <is>
          <t>Names the standard (GHG Protocol / ISO 14064 / IPCC) and emission-factor sources</t>
        </is>
      </c>
    </row>
    <row r="17">
      <c r="A17" s="9" t="inlineStr">
        <is>
          <t>Methodology &amp; factors</t>
        </is>
      </c>
      <c r="B17" s="9" t="inlineStr">
        <is>
          <t>Referenced elsewhere</t>
        </is>
      </c>
      <c r="C17" s="15" t="n">
        <v>5</v>
      </c>
      <c r="D17" s="10" t="n"/>
      <c r="E17" s="9" t="n"/>
    </row>
    <row r="18">
      <c r="A18" s="9" t="inlineStr">
        <is>
          <t>Methodology &amp; factors</t>
        </is>
      </c>
      <c r="B18" s="9" t="inlineStr">
        <is>
          <t>Not stated</t>
        </is>
      </c>
      <c r="C18" s="15" t="n">
        <v>0</v>
      </c>
      <c r="D18" s="10" t="n"/>
      <c r="E18" s="9" t="n"/>
    </row>
    <row r="19">
      <c r="A19" s="9" t="inlineStr">
        <is>
          <t>External assurance</t>
        </is>
      </c>
      <c r="B19" s="9" t="inlineStr">
        <is>
          <t>Reasonable</t>
        </is>
      </c>
      <c r="C19" s="15" t="n">
        <v>15</v>
      </c>
      <c r="D19" s="10" t="n">
        <v>15</v>
      </c>
      <c r="E19" s="9" t="inlineStr">
        <is>
          <t>Independent assurance of the GHG figures and its level</t>
        </is>
      </c>
    </row>
    <row r="20">
      <c r="A20" s="9" t="inlineStr">
        <is>
          <t>External assurance</t>
        </is>
      </c>
      <c r="B20" s="9" t="inlineStr">
        <is>
          <t>Limited</t>
        </is>
      </c>
      <c r="C20" s="15" t="n">
        <v>8</v>
      </c>
      <c r="D20" s="10" t="n"/>
      <c r="E20" s="9" t="n"/>
    </row>
    <row r="21">
      <c r="A21" s="9" t="inlineStr">
        <is>
          <t>External assurance</t>
        </is>
      </c>
      <c r="B21" s="9" t="inlineStr">
        <is>
          <t>None</t>
        </is>
      </c>
      <c r="C21" s="15" t="n">
        <v>0</v>
      </c>
      <c r="D21" s="10" t="n"/>
      <c r="E21" s="9" t="n"/>
    </row>
    <row r="22">
      <c r="A22" s="9" t="inlineStr">
        <is>
          <t>Boundary clarity</t>
        </is>
      </c>
      <c r="B22" s="9" t="inlineStr">
        <is>
          <t>Consolidated</t>
        </is>
      </c>
      <c r="C22" s="15" t="n">
        <v>5</v>
      </c>
      <c r="D22" s="10" t="n">
        <v>5</v>
      </c>
      <c r="E22" s="9" t="inlineStr">
        <is>
          <t>Clear organisational boundary; consolidated coverage scores higher</t>
        </is>
      </c>
    </row>
    <row r="23">
      <c r="A23" s="9" t="inlineStr">
        <is>
          <t>Boundary clarity</t>
        </is>
      </c>
      <c r="B23" s="9" t="inlineStr">
        <is>
          <t>Standalone</t>
        </is>
      </c>
      <c r="C23" s="15" t="n">
        <v>3</v>
      </c>
      <c r="D23" s="10" t="n"/>
      <c r="E23" s="9" t="n"/>
    </row>
    <row r="24">
      <c r="A24" s="9" t="inlineStr">
        <is>
          <t>Boundary clarity</t>
        </is>
      </c>
      <c r="B24" s="9" t="inlineStr">
        <is>
          <t>Unclear</t>
        </is>
      </c>
      <c r="C24" s="15" t="n">
        <v>0</v>
      </c>
      <c r="D24" s="10" t="n"/>
      <c r="E24" s="9" t="n"/>
    </row>
    <row r="25">
      <c r="A25" s="9" t="inlineStr">
        <is>
          <t>Scope 3 (leadership)</t>
        </is>
      </c>
      <c r="B25" s="9" t="inlineStr">
        <is>
          <t>Category breakdown</t>
        </is>
      </c>
      <c r="C25" s="15" t="n">
        <v>10</v>
      </c>
      <c r="D25" s="10" t="n">
        <v>10</v>
      </c>
      <c r="E25" s="9" t="inlineStr">
        <is>
          <t>Voluntary Scope 3 disclosure; category-level split scores higher</t>
        </is>
      </c>
    </row>
    <row r="26">
      <c r="A26" s="9" t="inlineStr">
        <is>
          <t>Scope 3 (leadership)</t>
        </is>
      </c>
      <c r="B26" s="9" t="inlineStr">
        <is>
          <t>Total only</t>
        </is>
      </c>
      <c r="C26" s="15" t="n">
        <v>6</v>
      </c>
      <c r="D26" s="10" t="n"/>
      <c r="E26" s="9" t="n"/>
    </row>
    <row r="27">
      <c r="A27" s="9" t="inlineStr">
        <is>
          <t>Scope 3 (leadership)</t>
        </is>
      </c>
      <c r="B27" s="9" t="inlineStr">
        <is>
          <t>Not disclosed</t>
        </is>
      </c>
      <c r="C27" s="15" t="n">
        <v>0</v>
      </c>
      <c r="D27" s="10" t="n"/>
      <c r="E27" s="9" t="n"/>
    </row>
    <row r="28">
      <c r="A28" s="9" t="inlineStr">
        <is>
          <t>Reduction target</t>
        </is>
      </c>
      <c r="B28" s="9" t="inlineStr">
        <is>
          <t>SBTi</t>
        </is>
      </c>
      <c r="C28" s="15" t="n">
        <v>10</v>
      </c>
      <c r="D28" s="10" t="n">
        <v>10</v>
      </c>
      <c r="E28" s="9" t="inlineStr">
        <is>
          <t>Science-based target, or at least a dated net-zero / neutrality commitment</t>
        </is>
      </c>
    </row>
    <row r="29">
      <c r="A29" s="9" t="inlineStr">
        <is>
          <t>Reduction target</t>
        </is>
      </c>
      <c r="B29" s="9" t="inlineStr">
        <is>
          <t>Dated net zero</t>
        </is>
      </c>
      <c r="C29" s="15" t="n">
        <v>6</v>
      </c>
      <c r="D29" s="10" t="n"/>
      <c r="E29" s="9" t="n"/>
    </row>
    <row r="30">
      <c r="A30" s="9" t="inlineStr">
        <is>
          <t>Reduction target</t>
        </is>
      </c>
      <c r="B30" s="9" t="inlineStr">
        <is>
          <t>None found</t>
        </is>
      </c>
      <c r="C30" s="15" t="n">
        <v>0</v>
      </c>
      <c r="D30" s="10" t="n"/>
      <c r="E30" s="9" t="n"/>
    </row>
    <row r="32">
      <c r="A32" s="16" t="inlineStr">
        <is>
          <t>Total possible</t>
        </is>
      </c>
      <c r="D32" s="16">
        <f>SUM(D2:D30)</f>
        <v/>
      </c>
    </row>
    <row r="33">
      <c r="A33" s="6" t="inlineStr">
        <is>
          <t>Blue values are editable inputs; scores on the Scores sheet update automatically.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70" customWidth="1" min="11" max="11"/>
  </cols>
  <sheetData>
    <row r="1" ht="32" customHeight="1">
      <c r="A1" s="7" t="inlineStr">
        <is>
          <t>Company</t>
        </is>
      </c>
      <c r="B1" s="7" t="inlineStr">
        <is>
          <t>Absolute Scope 1 &amp; 2</t>
        </is>
      </c>
      <c r="C1" s="7" t="inlineStr">
        <is>
          <t>Gas-wise breakdown</t>
        </is>
      </c>
      <c r="D1" s="7" t="inlineStr">
        <is>
          <t>Intensity metrics</t>
        </is>
      </c>
      <c r="E1" s="7" t="inlineStr">
        <is>
          <t>Scope 2 method</t>
        </is>
      </c>
      <c r="F1" s="7" t="inlineStr">
        <is>
          <t>Methodology &amp; factors</t>
        </is>
      </c>
      <c r="G1" s="7" t="inlineStr">
        <is>
          <t>External assurance</t>
        </is>
      </c>
      <c r="H1" s="7" t="inlineStr">
        <is>
          <t>Boundary clarity</t>
        </is>
      </c>
      <c r="I1" s="7" t="inlineStr">
        <is>
          <t>Scope 3 (leadership)</t>
        </is>
      </c>
      <c r="J1" s="7" t="inlineStr">
        <is>
          <t>Reduction target</t>
        </is>
      </c>
      <c r="K1" s="7" t="inlineStr">
        <is>
          <t>Rationale</t>
        </is>
      </c>
    </row>
    <row r="2" ht="30" customHeight="1">
      <c r="A2" s="12" t="inlineStr">
        <is>
          <t>Reliance Industries</t>
        </is>
      </c>
      <c r="B2" s="17" t="inlineStr">
        <is>
          <t>Full</t>
        </is>
      </c>
      <c r="C2" s="17" t="inlineStr">
        <is>
          <t>Full</t>
        </is>
      </c>
      <c r="D2" s="17" t="inlineStr">
        <is>
          <t>All three</t>
        </is>
      </c>
      <c r="E2" s="17" t="inlineStr">
        <is>
          <t>Both</t>
        </is>
      </c>
      <c r="F2" s="17" t="inlineStr">
        <is>
          <t>Stated</t>
        </is>
      </c>
      <c r="G2" s="17" t="inlineStr">
        <is>
          <t>Reasonable</t>
        </is>
      </c>
      <c r="H2" s="17" t="inlineStr">
        <is>
          <t>Standalone</t>
        </is>
      </c>
      <c r="I2" s="17" t="inlineStr">
        <is>
          <t>Not disclosed</t>
        </is>
      </c>
      <c r="J2" s="17" t="inlineStr">
        <is>
          <t>Dated net zero</t>
        </is>
      </c>
      <c r="K2" s="9" t="inlineStr">
        <is>
          <t>Best-in-class gas split and dual Scope 2; Scope 3 table left without values.</t>
        </is>
      </c>
    </row>
    <row r="3" ht="30" customHeight="1">
      <c r="A3" s="12" t="inlineStr">
        <is>
          <t>Tata Consultancy Services</t>
        </is>
      </c>
      <c r="B3" s="17" t="inlineStr">
        <is>
          <t>Full</t>
        </is>
      </c>
      <c r="C3" s="17" t="inlineStr">
        <is>
          <t>Full</t>
        </is>
      </c>
      <c r="D3" s="17" t="inlineStr">
        <is>
          <t>All three</t>
        </is>
      </c>
      <c r="E3" s="17" t="inlineStr">
        <is>
          <t>Both</t>
        </is>
      </c>
      <c r="F3" s="17" t="inlineStr">
        <is>
          <t>Stated</t>
        </is>
      </c>
      <c r="G3" s="17" t="inlineStr">
        <is>
          <t>Reasonable</t>
        </is>
      </c>
      <c r="H3" s="17" t="inlineStr">
        <is>
          <t>Consolidated</t>
        </is>
      </c>
      <c r="I3" s="17" t="inlineStr">
        <is>
          <t>Category breakdown</t>
        </is>
      </c>
      <c r="J3" s="17" t="inlineStr">
        <is>
          <t>SBTi</t>
        </is>
      </c>
      <c r="K3" s="9" t="inlineStr">
        <is>
          <t>Complete on every criterion: gas split, factor sources, 7-category Scope 3, 1.5C SBTi target.</t>
        </is>
      </c>
    </row>
    <row r="4" ht="30" customHeight="1">
      <c r="A4" s="12" t="inlineStr">
        <is>
          <t>Infosys</t>
        </is>
      </c>
      <c r="B4" s="17" t="inlineStr">
        <is>
          <t>Full</t>
        </is>
      </c>
      <c r="C4" s="17" t="inlineStr">
        <is>
          <t>None</t>
        </is>
      </c>
      <c r="D4" s="17" t="inlineStr">
        <is>
          <t>All three</t>
        </is>
      </c>
      <c r="E4" s="17" t="inlineStr">
        <is>
          <t>Both</t>
        </is>
      </c>
      <c r="F4" s="17" t="inlineStr">
        <is>
          <t>Stated</t>
        </is>
      </c>
      <c r="G4" s="17" t="inlineStr">
        <is>
          <t>Reasonable</t>
        </is>
      </c>
      <c r="H4" s="17" t="inlineStr">
        <is>
          <t>Standalone</t>
        </is>
      </c>
      <c r="I4" s="17" t="inlineStr">
        <is>
          <t>Total only</t>
        </is>
      </c>
      <c r="J4" s="17" t="inlineStr">
        <is>
          <t>Dated net zero</t>
        </is>
      </c>
      <c r="K4" s="9" t="inlineStr">
        <is>
          <t>Strong, but gas split and Scope 3 categories pushed to the ESG Databook rather than the BRSR.</t>
        </is>
      </c>
    </row>
    <row r="5" ht="30" customHeight="1">
      <c r="A5" s="12" t="inlineStr">
        <is>
          <t>HDFC Bank</t>
        </is>
      </c>
      <c r="B5" s="17" t="inlineStr">
        <is>
          <t>Full</t>
        </is>
      </c>
      <c r="C5" s="17" t="inlineStr">
        <is>
          <t>Full</t>
        </is>
      </c>
      <c r="D5" s="17" t="inlineStr">
        <is>
          <t>All three</t>
        </is>
      </c>
      <c r="E5" s="17" t="inlineStr">
        <is>
          <t>One stated</t>
        </is>
      </c>
      <c r="F5" s="17" t="inlineStr">
        <is>
          <t>Stated</t>
        </is>
      </c>
      <c r="G5" s="17" t="inlineStr">
        <is>
          <t>Reasonable</t>
        </is>
      </c>
      <c r="H5" s="17" t="inlineStr">
        <is>
          <t>Standalone</t>
        </is>
      </c>
      <c r="I5" s="17" t="inlineStr">
        <is>
          <t>Total only</t>
        </is>
      </c>
      <c r="J5" s="17" t="inlineStr">
        <is>
          <t>Dated net zero</t>
        </is>
      </c>
      <c r="K5" s="9" t="inlineStr">
        <is>
          <t>Detailed gas split and factors; no location-based Scope 2; financed emissions absent.</t>
        </is>
      </c>
    </row>
    <row r="6" ht="30" customHeight="1">
      <c r="A6" s="12" t="inlineStr">
        <is>
          <t>ITC</t>
        </is>
      </c>
      <c r="B6" s="17" t="inlineStr">
        <is>
          <t>Full</t>
        </is>
      </c>
      <c r="C6" s="17" t="inlineStr">
        <is>
          <t>None</t>
        </is>
      </c>
      <c r="D6" s="17" t="inlineStr">
        <is>
          <t>All three</t>
        </is>
      </c>
      <c r="E6" s="17" t="inlineStr">
        <is>
          <t>Both</t>
        </is>
      </c>
      <c r="F6" s="17" t="inlineStr">
        <is>
          <t>Stated</t>
        </is>
      </c>
      <c r="G6" s="17" t="inlineStr">
        <is>
          <t>Reasonable</t>
        </is>
      </c>
      <c r="H6" s="17" t="inlineStr">
        <is>
          <t>Standalone</t>
        </is>
      </c>
      <c r="I6" s="17" t="inlineStr">
        <is>
          <t>Total only</t>
        </is>
      </c>
      <c r="J6" s="17" t="inlineStr">
        <is>
          <t>Dated net zero</t>
        </is>
      </c>
      <c r="K6" s="9" t="inlineStr">
        <is>
          <t>ISO 14064 inventory with dual Scope 2; no gas split; kilotonne precision.</t>
        </is>
      </c>
    </row>
    <row r="7" ht="30" customHeight="1">
      <c r="A7" s="12" t="inlineStr">
        <is>
          <t>NTPC</t>
        </is>
      </c>
      <c r="B7" s="17" t="inlineStr">
        <is>
          <t>Full</t>
        </is>
      </c>
      <c r="C7" s="17" t="inlineStr">
        <is>
          <t>None</t>
        </is>
      </c>
      <c r="D7" s="17" t="inlineStr">
        <is>
          <t>All three</t>
        </is>
      </c>
      <c r="E7" s="17" t="inlineStr">
        <is>
          <t>Not stated</t>
        </is>
      </c>
      <c r="F7" s="17" t="inlineStr">
        <is>
          <t>Not stated</t>
        </is>
      </c>
      <c r="G7" s="17" t="inlineStr">
        <is>
          <t>Reasonable</t>
        </is>
      </c>
      <c r="H7" s="17" t="inlineStr">
        <is>
          <t>Standalone</t>
        </is>
      </c>
      <c r="I7" s="17" t="inlineStr">
        <is>
          <t>Total only</t>
        </is>
      </c>
      <c r="J7" s="17" t="inlineStr">
        <is>
          <t>None found</t>
        </is>
      </c>
      <c r="K7" s="9" t="inlineStr">
        <is>
          <t>India's largest emitter: figures assured but no method, Scope 2 basis or reduction target.</t>
        </is>
      </c>
    </row>
    <row r="8" ht="30" customHeight="1">
      <c r="A8" s="12" t="inlineStr">
        <is>
          <t>UltraTech Cement</t>
        </is>
      </c>
      <c r="B8" s="17" t="inlineStr">
        <is>
          <t>Full</t>
        </is>
      </c>
      <c r="C8" s="17" t="inlineStr">
        <is>
          <t>None</t>
        </is>
      </c>
      <c r="D8" s="17" t="inlineStr">
        <is>
          <t>All three</t>
        </is>
      </c>
      <c r="E8" s="17" t="inlineStr">
        <is>
          <t>Not stated</t>
        </is>
      </c>
      <c r="F8" s="17" t="inlineStr">
        <is>
          <t>Not stated</t>
        </is>
      </c>
      <c r="G8" s="17" t="inlineStr">
        <is>
          <t>Reasonable</t>
        </is>
      </c>
      <c r="H8" s="17" t="inlineStr">
        <is>
          <t>Standalone</t>
        </is>
      </c>
      <c r="I8" s="17" t="inlineStr">
        <is>
          <t>Total only</t>
        </is>
      </c>
      <c r="J8" s="17" t="inlineStr">
        <is>
          <t>SBTi</t>
        </is>
      </c>
      <c r="K8" s="9" t="inlineStr">
        <is>
          <t>SBTi-validated targets, but BRSR omits methodology and Scope 2 basis.</t>
        </is>
      </c>
    </row>
    <row r="9" ht="30" customHeight="1">
      <c r="A9" s="12" t="inlineStr">
        <is>
          <t>Larsen &amp; Toubro</t>
        </is>
      </c>
      <c r="B9" s="17" t="inlineStr">
        <is>
          <t>Full</t>
        </is>
      </c>
      <c r="C9" s="17" t="inlineStr">
        <is>
          <t>None</t>
        </is>
      </c>
      <c r="D9" s="17" t="inlineStr">
        <is>
          <t>Two</t>
        </is>
      </c>
      <c r="E9" s="17" t="inlineStr">
        <is>
          <t>Not stated</t>
        </is>
      </c>
      <c r="F9" s="17" t="inlineStr">
        <is>
          <t>Referenced elsewhere</t>
        </is>
      </c>
      <c r="G9" s="17" t="inlineStr">
        <is>
          <t>Reasonable</t>
        </is>
      </c>
      <c r="H9" s="17" t="inlineStr">
        <is>
          <t>Standalone</t>
        </is>
      </c>
      <c r="I9" s="17" t="inlineStr">
        <is>
          <t>Total only</t>
        </is>
      </c>
      <c r="J9" s="17" t="inlineStr">
        <is>
          <t>Dated net zero</t>
        </is>
      </c>
      <c r="K9" s="9" t="inlineStr">
        <is>
          <t>No physical intensity, gas split or Scope 2 basis; Scope 3 explicitly unassured.</t>
        </is>
      </c>
    </row>
    <row r="10" ht="30" customHeight="1">
      <c r="A10" s="12" t="inlineStr">
        <is>
          <t>Mahindra &amp; Mahindra</t>
        </is>
      </c>
      <c r="B10" s="17" t="inlineStr">
        <is>
          <t>Full</t>
        </is>
      </c>
      <c r="C10" s="17" t="inlineStr">
        <is>
          <t>None</t>
        </is>
      </c>
      <c r="D10" s="17" t="inlineStr">
        <is>
          <t>All three</t>
        </is>
      </c>
      <c r="E10" s="17" t="inlineStr">
        <is>
          <t>One stated</t>
        </is>
      </c>
      <c r="F10" s="17" t="inlineStr">
        <is>
          <t>Stated</t>
        </is>
      </c>
      <c r="G10" s="17" t="inlineStr">
        <is>
          <t>Reasonable</t>
        </is>
      </c>
      <c r="H10" s="17" t="inlineStr">
        <is>
          <t>Standalone</t>
        </is>
      </c>
      <c r="I10" s="17" t="inlineStr">
        <is>
          <t>Total only</t>
        </is>
      </c>
      <c r="J10" s="17" t="inlineStr">
        <is>
          <t>SBTi</t>
        </is>
      </c>
      <c r="K10" s="9" t="inlineStr">
        <is>
          <t>GHG Protocol + ISO 14064-3 verified, segment intensities; no gas split.</t>
        </is>
      </c>
    </row>
    <row r="11" ht="30" customHeight="1">
      <c r="A11" s="12" t="inlineStr">
        <is>
          <t>Tata Steel</t>
        </is>
      </c>
      <c r="B11" s="17" t="inlineStr">
        <is>
          <t>Rounded</t>
        </is>
      </c>
      <c r="C11" s="17" t="inlineStr">
        <is>
          <t>None</t>
        </is>
      </c>
      <c r="D11" s="17" t="inlineStr">
        <is>
          <t>All three</t>
        </is>
      </c>
      <c r="E11" s="17" t="inlineStr">
        <is>
          <t>One stated</t>
        </is>
      </c>
      <c r="F11" s="17" t="inlineStr">
        <is>
          <t>Stated</t>
        </is>
      </c>
      <c r="G11" s="17" t="inlineStr">
        <is>
          <t>Reasonable</t>
        </is>
      </c>
      <c r="H11" s="17" t="inlineStr">
        <is>
          <t>Consolidated</t>
        </is>
      </c>
      <c r="I11" s="17" t="inlineStr">
        <is>
          <t>Total only</t>
        </is>
      </c>
      <c r="J11" s="17" t="inlineStr">
        <is>
          <t>Dated net zero</t>
        </is>
      </c>
      <c r="K11" s="9" t="inlineStr">
        <is>
          <t>Only company giving standalone and consolidated; figures rounded to whole Mt.</t>
        </is>
      </c>
    </row>
    <row r="13">
      <c r="A13" s="6" t="inlineStr">
        <is>
          <t>Yellow cells are inputs: choose a level from the dropdown. Points come from the Rubric sheet.</t>
        </is>
      </c>
    </row>
  </sheetData>
  <dataValidations count="9">
    <dataValidation sqref="B2:B11" showDropDown="0" showInputMessage="0" showErrorMessage="0" allowBlank="0" type="list">
      <formula1>"Full,Rounded,Partial,Missing"</formula1>
    </dataValidation>
    <dataValidation sqref="C2:C11" showDropDown="0" showInputMessage="0" showErrorMessage="0" allowBlank="0" type="list">
      <formula1>"Full,Partial,None"</formula1>
    </dataValidation>
    <dataValidation sqref="D2:D11" showDropDown="0" showInputMessage="0" showErrorMessage="0" allowBlank="0" type="list">
      <formula1>"All three,Two,One,None"</formula1>
    </dataValidation>
    <dataValidation sqref="E2:E11" showDropDown="0" showInputMessage="0" showErrorMessage="0" allowBlank="0" type="list">
      <formula1>"Both,One stated,Not stated"</formula1>
    </dataValidation>
    <dataValidation sqref="F2:F11" showDropDown="0" showInputMessage="0" showErrorMessage="0" allowBlank="0" type="list">
      <formula1>"Stated,Referenced elsewhere,Not stated"</formula1>
    </dataValidation>
    <dataValidation sqref="G2:G11" showDropDown="0" showInputMessage="0" showErrorMessage="0" allowBlank="0" type="list">
      <formula1>"Reasonable,Limited,None"</formula1>
    </dataValidation>
    <dataValidation sqref="H2:H11" showDropDown="0" showInputMessage="0" showErrorMessage="0" allowBlank="0" type="list">
      <formula1>"Consolidated,Standalone,Unclear"</formula1>
    </dataValidation>
    <dataValidation sqref="I2:I11" showDropDown="0" showInputMessage="0" showErrorMessage="0" allowBlank="0" type="list">
      <formula1>"Category breakdown,Total only,Not disclosed"</formula1>
    </dataValidation>
    <dataValidation sqref="J2:J11" showDropDown="0" showInputMessage="0" showErrorMessage="0" allowBlank="0" type="list">
      <formula1>"SBTi,Dated net zero,None found"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4" customWidth="1" min="3" max="3"/>
    <col width="15" customWidth="1" min="4" max="4"/>
    <col width="15" customWidth="1" min="5" max="5"/>
    <col width="9" customWidth="1" min="6" max="6"/>
    <col width="14" customWidth="1" min="7" max="7"/>
    <col width="14" customWidth="1" min="8" max="8"/>
    <col width="9" customWidth="1" min="9" max="9"/>
    <col width="15" customWidth="1" min="10" max="10"/>
    <col width="9" customWidth="1" min="11" max="11"/>
    <col width="18" customWidth="1" min="12" max="12"/>
    <col width="15" customWidth="1" min="13" max="13"/>
    <col width="15" customWidth="1" min="14" max="14"/>
    <col width="15" customWidth="1" min="15" max="15"/>
    <col width="12" customWidth="1" min="16" max="16"/>
    <col width="26" customWidth="1" min="17" max="17"/>
    <col width="26" customWidth="1" min="18" max="18"/>
    <col width="12" customWidth="1" min="19" max="19"/>
    <col width="40" customWidth="1" min="20" max="20"/>
    <col width="60" customWidth="1" min="21" max="21"/>
    <col width="30" customWidth="1" min="22" max="22"/>
  </cols>
  <sheetData>
    <row r="1" ht="32" customHeight="1">
      <c r="A1" s="7" t="inlineStr">
        <is>
          <t>Company</t>
        </is>
      </c>
      <c r="B1" s="7" t="inlineStr">
        <is>
          <t>Sector</t>
        </is>
      </c>
      <c r="C1" s="7" t="inlineStr">
        <is>
          <t>Boundary</t>
        </is>
      </c>
      <c r="D1" s="7" t="inlineStr">
        <is>
          <t>Scope 1 FY26 (tCO2e)</t>
        </is>
      </c>
      <c r="E1" s="7" t="inlineStr">
        <is>
          <t>Scope 1 FY25 (tCO2e)</t>
        </is>
      </c>
      <c r="F1" s="7" t="inlineStr">
        <is>
          <t>Scope 1 YoY</t>
        </is>
      </c>
      <c r="G1" s="7" t="inlineStr">
        <is>
          <t>Scope 2 FY26 (tCO2e)</t>
        </is>
      </c>
      <c r="H1" s="7" t="inlineStr">
        <is>
          <t>Scope 2 FY25 (tCO2e)</t>
        </is>
      </c>
      <c r="I1" s="7" t="inlineStr">
        <is>
          <t>Scope 2 YoY</t>
        </is>
      </c>
      <c r="J1" s="7" t="inlineStr">
        <is>
          <t>Scope 1+2 FY26 (tCO2e)</t>
        </is>
      </c>
      <c r="K1" s="7" t="inlineStr">
        <is>
          <t>Scope 1 share</t>
        </is>
      </c>
      <c r="L1" s="7" t="inlineStr">
        <is>
          <t>Scope 2 basis reported</t>
        </is>
      </c>
      <c r="M1" s="7" t="inlineStr">
        <is>
          <t>Scope 2 location-based FY26</t>
        </is>
      </c>
      <c r="N1" s="7" t="inlineStr">
        <is>
          <t>Scope 3 FY26 (tCO2e)</t>
        </is>
      </c>
      <c r="O1" s="7" t="inlineStr">
        <is>
          <t>Scope 3 FY25 (tCO2e)</t>
        </is>
      </c>
      <c r="P1" s="7" t="inlineStr">
        <is>
          <t>Physical intensity FY26</t>
        </is>
      </c>
      <c r="Q1" s="7" t="inlineStr">
        <is>
          <t>Intensity unit</t>
        </is>
      </c>
      <c r="R1" s="7" t="inlineStr">
        <is>
          <t>Assurer</t>
        </is>
      </c>
      <c r="S1" s="7" t="inlineStr">
        <is>
          <t>Assurance level</t>
        </is>
      </c>
      <c r="T1" s="7" t="inlineStr">
        <is>
          <t>Stated target</t>
        </is>
      </c>
      <c r="U1" s="7" t="inlineStr">
        <is>
          <t>Notes</t>
        </is>
      </c>
      <c r="V1" s="7" t="inlineStr">
        <is>
          <t>Source (BRSR FY2025-26)</t>
        </is>
      </c>
    </row>
    <row r="2" ht="64" customHeight="1">
      <c r="A2" s="9" t="inlineStr">
        <is>
          <t>Reliance Industries</t>
        </is>
      </c>
      <c r="B2" s="9" t="inlineStr">
        <is>
          <t>Oil to chemicals</t>
        </is>
      </c>
      <c r="C2" s="9" t="inlineStr">
        <is>
          <t>Standalone</t>
        </is>
      </c>
      <c r="D2" s="18" t="n">
        <v>36350070</v>
      </c>
      <c r="E2" s="18" t="n">
        <v>36459294</v>
      </c>
      <c r="F2" s="19">
        <f>IF(E2=0,"",D2/E2-1)</f>
        <v/>
      </c>
      <c r="G2" s="18" t="n">
        <v>1918352</v>
      </c>
      <c r="H2" s="18" t="n">
        <v>1470097</v>
      </c>
      <c r="I2" s="19">
        <f>IF(H2=0,"",G2/H2-1)</f>
        <v/>
      </c>
      <c r="J2" s="20">
        <f>D2+G2</f>
        <v/>
      </c>
      <c r="K2" s="19">
        <f>IF(J2=0,"",D2/J2)</f>
        <v/>
      </c>
      <c r="L2" s="9" t="inlineStr">
        <is>
          <t>Market-based</t>
        </is>
      </c>
      <c r="M2" s="18" t="n">
        <v>2532081</v>
      </c>
      <c r="N2" s="18" t="n"/>
      <c r="O2" s="18" t="n"/>
      <c r="P2" s="21" t="n">
        <v>0.478</v>
      </c>
      <c r="Q2" s="9" t="inlineStr">
        <is>
          <t>tCO2e per tonne of throughput (O2C)</t>
        </is>
      </c>
      <c r="R2" s="9" t="inlineStr">
        <is>
          <t>Deloitte Haskins &amp; Sells LLP</t>
        </is>
      </c>
      <c r="S2" s="10" t="inlineStr">
        <is>
          <t>Reasonable</t>
        </is>
      </c>
      <c r="T2" s="9" t="inlineStr">
        <is>
          <t>Net Carbon Zero by 2035</t>
        </is>
      </c>
      <c r="U2" s="9" t="inlineStr">
        <is>
          <t>Gas-wise split (CO2 / CH4 / N2O) given. Methodology: IPCC guidelines with lab-derived CO2 factors. Scope 3 table present but no values found in the text layer of the filing. GHG boundary covers O2C; E&amp;P; CBG plants and owned telecom towers.</t>
        </is>
      </c>
      <c r="V2" s="22" t="inlineStr">
        <is>
          <t>Open report</t>
        </is>
      </c>
    </row>
    <row r="3" ht="64" customHeight="1">
      <c r="A3" s="9" t="inlineStr">
        <is>
          <t>Tata Consultancy Services</t>
        </is>
      </c>
      <c r="B3" s="9" t="inlineStr">
        <is>
          <t>IT services</t>
        </is>
      </c>
      <c r="C3" s="9" t="inlineStr">
        <is>
          <t>Consolidated</t>
        </is>
      </c>
      <c r="D3" s="18" t="n">
        <v>22631</v>
      </c>
      <c r="E3" s="18" t="n">
        <v>20494.8</v>
      </c>
      <c r="F3" s="19">
        <f>IF(E3=0,"",D3/E3-1)</f>
        <v/>
      </c>
      <c r="G3" s="18" t="n">
        <v>53971</v>
      </c>
      <c r="H3" s="18" t="n">
        <v>55599</v>
      </c>
      <c r="I3" s="19">
        <f>IF(H3=0,"",G3/H3-1)</f>
        <v/>
      </c>
      <c r="J3" s="20">
        <f>D3+G3</f>
        <v/>
      </c>
      <c r="K3" s="19">
        <f>IF(J3=0,"",D3/J3)</f>
        <v/>
      </c>
      <c r="L3" s="9" t="inlineStr">
        <is>
          <t>Not labelled (location-based shown separately)</t>
        </is>
      </c>
      <c r="M3" s="18" t="n">
        <v>318184</v>
      </c>
      <c r="N3" s="18" t="n">
        <v>573872</v>
      </c>
      <c r="O3" s="18" t="n">
        <v>523810</v>
      </c>
      <c r="P3" s="21" t="n">
        <v>0.12</v>
      </c>
      <c r="Q3" s="9" t="inlineStr">
        <is>
          <t>tCO2e per FTE</t>
        </is>
      </c>
      <c r="R3" s="9" t="inlineStr">
        <is>
          <t>KPMG Assurance and Consulting Services LLP</t>
        </is>
      </c>
      <c r="S3" s="10" t="inlineStr">
        <is>
          <t>Reasonable</t>
        </is>
      </c>
      <c r="T3" s="9" t="inlineStr">
        <is>
          <t>SBTi 1.5C near-term: -90% abs. Scope 1+2 by FY2030 vs FY2016; -35% Scope 3 by FY2034</t>
        </is>
      </c>
      <c r="U3" s="9" t="inlineStr">
        <is>
          <t>Gas-wise split incl. HFCs. Emission factors: DEFRA 2025 (Scope 1); CEA CO2 Baseline Database v21 (Scope 2). Scope 3 split across categories 1-7.</t>
        </is>
      </c>
      <c r="V3" s="22" t="inlineStr">
        <is>
          <t>Open report</t>
        </is>
      </c>
    </row>
    <row r="4" ht="64" customHeight="1">
      <c r="A4" s="9" t="inlineStr">
        <is>
          <t>Infosys</t>
        </is>
      </c>
      <c r="B4" s="9" t="inlineStr">
        <is>
          <t>IT services</t>
        </is>
      </c>
      <c r="C4" s="9" t="inlineStr">
        <is>
          <t>Standalone</t>
        </is>
      </c>
      <c r="D4" s="18" t="n">
        <v>11483</v>
      </c>
      <c r="E4" s="18" t="n">
        <v>8745</v>
      </c>
      <c r="F4" s="19">
        <f>IF(E4=0,"",D4/E4-1)</f>
        <v/>
      </c>
      <c r="G4" s="18" t="n">
        <v>34351</v>
      </c>
      <c r="H4" s="18" t="n">
        <v>38586</v>
      </c>
      <c r="I4" s="19">
        <f>IF(H4=0,"",G4/H4-1)</f>
        <v/>
      </c>
      <c r="J4" s="20">
        <f>D4+G4</f>
        <v/>
      </c>
      <c r="K4" s="19">
        <f>IF(J4=0,"",D4/J4)</f>
        <v/>
      </c>
      <c r="L4" s="9" t="inlineStr">
        <is>
          <t>Market-based</t>
        </is>
      </c>
      <c r="M4" s="18" t="n">
        <v>145604</v>
      </c>
      <c r="N4" s="18" t="n">
        <v>207374</v>
      </c>
      <c r="O4" s="18" t="n">
        <v>208659</v>
      </c>
      <c r="P4" s="21" t="n">
        <v>0.13</v>
      </c>
      <c r="Q4" s="9" t="inlineStr">
        <is>
          <t>tCO2e per FTE</t>
        </is>
      </c>
      <c r="R4" s="9" t="inlineStr">
        <is>
          <t>Deloitte Haskins &amp; Sells LLP</t>
        </is>
      </c>
      <c r="S4" s="10" t="inlineStr">
        <is>
          <t>Reasonable</t>
        </is>
      </c>
      <c r="T4" s="9" t="inlineStr">
        <is>
          <t>Carbon neutral since FY2020 (Scope 1+2+3)</t>
        </is>
      </c>
      <c r="U4" s="9" t="inlineStr">
        <is>
          <t>No gas split in BRSR (refers to ESG Databook Annexure 4 and 6). Scope 3 FY25 restated to add Category 1. Scope 1 covers owned offices (India/US/China) and leased India offices.</t>
        </is>
      </c>
      <c r="V4" s="22" t="inlineStr">
        <is>
          <t>Open report</t>
        </is>
      </c>
    </row>
    <row r="5" ht="64" customHeight="1">
      <c r="A5" s="9" t="inlineStr">
        <is>
          <t>HDFC Bank</t>
        </is>
      </c>
      <c r="B5" s="9" t="inlineStr">
        <is>
          <t>Banking</t>
        </is>
      </c>
      <c r="C5" s="9" t="inlineStr">
        <is>
          <t>Standalone</t>
        </is>
      </c>
      <c r="D5" s="18" t="n">
        <v>91849.50999999999</v>
      </c>
      <c r="E5" s="18" t="n">
        <v>77999.5</v>
      </c>
      <c r="F5" s="19">
        <f>IF(E5=0,"",D5/E5-1)</f>
        <v/>
      </c>
      <c r="G5" s="18" t="n">
        <v>236495.41</v>
      </c>
      <c r="H5" s="18" t="n">
        <v>284877.91</v>
      </c>
      <c r="I5" s="19">
        <f>IF(H5=0,"",G5/H5-1)</f>
        <v/>
      </c>
      <c r="J5" s="20">
        <f>D5+G5</f>
        <v/>
      </c>
      <c r="K5" s="19">
        <f>IF(J5=0,"",D5/J5)</f>
        <v/>
      </c>
      <c r="L5" s="9" t="inlineStr">
        <is>
          <t>Market-based</t>
        </is>
      </c>
      <c r="M5" s="18" t="n"/>
      <c r="N5" s="18" t="n">
        <v>227208.97</v>
      </c>
      <c r="O5" s="18" t="n">
        <v>230310.04</v>
      </c>
      <c r="P5" s="21" t="n">
        <v>1.55</v>
      </c>
      <c r="Q5" s="9" t="inlineStr">
        <is>
          <t>tCO2e per FTE</t>
        </is>
      </c>
      <c r="R5" s="9" t="inlineStr">
        <is>
          <t>SGS India Private Limited</t>
        </is>
      </c>
      <c r="S5" s="10" t="inlineStr">
        <is>
          <t>Reasonable</t>
        </is>
      </c>
      <c r="T5" s="9" t="inlineStr">
        <is>
          <t>Carbon neutral (operational) by FY2031-32</t>
        </is>
      </c>
      <c r="U5" s="9" t="inlineStr">
        <is>
          <t>Gas-wise split incl. HFCs (fire suppression agents). Factors: IPCC 2006; AR6 GWPs; CEA v21. Scope 1 rose 18% due to fleet expansion and wider fire-extinguisher coverage. Financed emissions not reported in BRSR GHG table.</t>
        </is>
      </c>
      <c r="V5" s="22" t="inlineStr">
        <is>
          <t>Open report</t>
        </is>
      </c>
    </row>
    <row r="6" ht="64" customHeight="1">
      <c r="A6" s="9" t="inlineStr">
        <is>
          <t>ITC</t>
        </is>
      </c>
      <c r="B6" s="9" t="inlineStr">
        <is>
          <t>FMCG / conglomerate</t>
        </is>
      </c>
      <c r="C6" s="9" t="inlineStr">
        <is>
          <t>Standalone</t>
        </is>
      </c>
      <c r="D6" s="18" t="n">
        <v>1045000</v>
      </c>
      <c r="E6" s="18" t="n">
        <v>1101000</v>
      </c>
      <c r="F6" s="19">
        <f>IF(E6=0,"",D6/E6-1)</f>
        <v/>
      </c>
      <c r="G6" s="18" t="n">
        <v>151000</v>
      </c>
      <c r="H6" s="18" t="n">
        <v>153000</v>
      </c>
      <c r="I6" s="19">
        <f>IF(H6=0,"",G6/H6-1)</f>
        <v/>
      </c>
      <c r="J6" s="20">
        <f>D6+G6</f>
        <v/>
      </c>
      <c r="K6" s="19">
        <f>IF(J6=0,"",D6/J6)</f>
        <v/>
      </c>
      <c r="L6" s="9" t="inlineStr">
        <is>
          <t>Market-based</t>
        </is>
      </c>
      <c r="M6" s="18" t="n">
        <v>170000</v>
      </c>
      <c r="N6" s="18" t="n">
        <v>1442000</v>
      </c>
      <c r="O6" s="18" t="n">
        <v>1062000</v>
      </c>
      <c r="P6" s="21" t="n">
        <v>1.01</v>
      </c>
      <c r="Q6" s="9" t="inlineStr">
        <is>
          <t>tCO2e per tonne (Paperboards &amp; Specialty Papers)</t>
        </is>
      </c>
      <c r="R6" s="9" t="inlineStr">
        <is>
          <t>KPMG Assurance and Consulting Services LLP</t>
        </is>
      </c>
      <c r="S6" s="10" t="inlineStr">
        <is>
          <t>Reasonable</t>
        </is>
      </c>
      <c r="T6" s="9" t="inlineStr">
        <is>
          <t>Net Zero Operations by 2050</t>
        </is>
      </c>
      <c r="U6" s="9" t="inlineStr">
        <is>
          <t>Reported in kilotonnes. No gas split. Inventory per ISO 14064:2018 and WRI/WBCSD GHG Protocol. Scope 3 rise reflects wider downstream logistics boundary (GLEC).</t>
        </is>
      </c>
      <c r="V6" s="22" t="inlineStr">
        <is>
          <t>Open report</t>
        </is>
      </c>
    </row>
    <row r="7" ht="64" customHeight="1">
      <c r="A7" s="9" t="inlineStr">
        <is>
          <t>NTPC</t>
        </is>
      </c>
      <c r="B7" s="9" t="inlineStr">
        <is>
          <t>Power generation</t>
        </is>
      </c>
      <c r="C7" s="9" t="inlineStr">
        <is>
          <t>Standalone</t>
        </is>
      </c>
      <c r="D7" s="18" t="n">
        <v>309007966.99</v>
      </c>
      <c r="E7" s="18" t="n">
        <v>326959946.44</v>
      </c>
      <c r="F7" s="19">
        <f>IF(E7=0,"",D7/E7-1)</f>
        <v/>
      </c>
      <c r="G7" s="18" t="n">
        <v>72361.35000000001</v>
      </c>
      <c r="H7" s="18" t="n">
        <v>64979.66</v>
      </c>
      <c r="I7" s="19">
        <f>IF(H7=0,"",G7/H7-1)</f>
        <v/>
      </c>
      <c r="J7" s="20">
        <f>D7+G7</f>
        <v/>
      </c>
      <c r="K7" s="19">
        <f>IF(J7=0,"",D7/J7)</f>
        <v/>
      </c>
      <c r="L7" s="9" t="inlineStr">
        <is>
          <t>Not stated</t>
        </is>
      </c>
      <c r="M7" s="18" t="n"/>
      <c r="N7" s="18" t="n">
        <v>10588637.77</v>
      </c>
      <c r="O7" s="18" t="n">
        <v>1973049.64</v>
      </c>
      <c r="P7" s="21" t="n">
        <v>876.11</v>
      </c>
      <c r="Q7" s="9" t="inlineStr">
        <is>
          <t>gCO2e per kWh</t>
        </is>
      </c>
      <c r="R7" s="9" t="inlineStr">
        <is>
          <t>TUV India Private Limited</t>
        </is>
      </c>
      <c r="S7" s="10" t="inlineStr">
        <is>
          <t>Reasonable</t>
        </is>
      </c>
      <c r="T7" s="9" t="inlineStr">
        <is>
          <t>No net-zero or absolute GHG target found in BRSR</t>
        </is>
      </c>
      <c r="U7" s="9" t="inlineStr">
        <is>
          <t>No gas split. No methodology or Scope 2 basis stated. Scope 3 jump (1.97 Mt to 10.59 Mt) reflects added categories 1-4.</t>
        </is>
      </c>
      <c r="V7" s="22" t="inlineStr">
        <is>
          <t>Open report</t>
        </is>
      </c>
    </row>
    <row r="8" ht="64" customHeight="1">
      <c r="A8" s="9" t="inlineStr">
        <is>
          <t>UltraTech Cement</t>
        </is>
      </c>
      <c r="B8" s="9" t="inlineStr">
        <is>
          <t>Cement</t>
        </is>
      </c>
      <c r="C8" s="9" t="inlineStr">
        <is>
          <t>Standalone</t>
        </is>
      </c>
      <c r="D8" s="18" t="n">
        <v>88884246</v>
      </c>
      <c r="E8" s="18" t="n">
        <v>81107852</v>
      </c>
      <c r="F8" s="19">
        <f>IF(E8=0,"",D8/E8-1)</f>
        <v/>
      </c>
      <c r="G8" s="18" t="n">
        <v>2040172</v>
      </c>
      <c r="H8" s="18" t="n">
        <v>1884213.56</v>
      </c>
      <c r="I8" s="19">
        <f>IF(H8=0,"",G8/H8-1)</f>
        <v/>
      </c>
      <c r="J8" s="20">
        <f>D8+G8</f>
        <v/>
      </c>
      <c r="K8" s="19">
        <f>IF(J8=0,"",D8/J8)</f>
        <v/>
      </c>
      <c r="L8" s="9" t="inlineStr">
        <is>
          <t>Not stated</t>
        </is>
      </c>
      <c r="M8" s="18" t="n"/>
      <c r="N8" s="18" t="n">
        <v>12831001.9</v>
      </c>
      <c r="O8" s="18" t="n">
        <v>12711286.88</v>
      </c>
      <c r="P8" s="21" t="n">
        <v>590.77</v>
      </c>
      <c r="Q8" s="9" t="inlineStr">
        <is>
          <t>kgCO2 per tonne cementitious</t>
        </is>
      </c>
      <c r="R8" s="9" t="inlineStr">
        <is>
          <t>TUV SUD South Asia Private Limited</t>
        </is>
      </c>
      <c r="S8" s="10" t="inlineStr">
        <is>
          <t>Reasonable</t>
        </is>
      </c>
      <c r="T8" s="9" t="inlineStr">
        <is>
          <t>SBTi-validated: -27% Scope 1 intensity and -69% Scope 2 intensity by 2032 vs 2017; net zero 2050</t>
        </is>
      </c>
      <c r="U8" s="9" t="inlineStr">
        <is>
          <t>No gas split. No methodology or Scope 2 basis stated in BRSR. Absolute Scope 1 up 9.6% with capacity growth while intensity fell 3%.</t>
        </is>
      </c>
      <c r="V8" s="22" t="inlineStr">
        <is>
          <t>Open report</t>
        </is>
      </c>
    </row>
    <row r="9" ht="64" customHeight="1">
      <c r="A9" s="9" t="inlineStr">
        <is>
          <t>Larsen &amp; Toubro</t>
        </is>
      </c>
      <c r="B9" s="9" t="inlineStr">
        <is>
          <t>Engineering &amp; construction</t>
        </is>
      </c>
      <c r="C9" s="9" t="inlineStr">
        <is>
          <t>Standalone</t>
        </is>
      </c>
      <c r="D9" s="18" t="n">
        <v>617113</v>
      </c>
      <c r="E9" s="18" t="n">
        <v>603953</v>
      </c>
      <c r="F9" s="19">
        <f>IF(E9=0,"",D9/E9-1)</f>
        <v/>
      </c>
      <c r="G9" s="18" t="n">
        <v>289920</v>
      </c>
      <c r="H9" s="18" t="n">
        <v>282341</v>
      </c>
      <c r="I9" s="19">
        <f>IF(H9=0,"",G9/H9-1)</f>
        <v/>
      </c>
      <c r="J9" s="20">
        <f>D9+G9</f>
        <v/>
      </c>
      <c r="K9" s="19">
        <f>IF(J9=0,"",D9/J9)</f>
        <v/>
      </c>
      <c r="L9" s="9" t="inlineStr">
        <is>
          <t>Not stated</t>
        </is>
      </c>
      <c r="M9" s="18" t="n"/>
      <c r="N9" s="18" t="n">
        <v>6548226</v>
      </c>
      <c r="O9" s="18" t="n">
        <v>7458242</v>
      </c>
      <c r="P9" s="21" t="n"/>
      <c r="Q9" s="9" t="inlineStr"/>
      <c r="R9" s="9" t="inlineStr">
        <is>
          <t>BDO India Services Private Limited</t>
        </is>
      </c>
      <c r="S9" s="10" t="inlineStr">
        <is>
          <t>Reasonable</t>
        </is>
      </c>
      <c r="T9" s="9" t="inlineStr">
        <is>
          <t>Carbon neutrality by 2040</t>
        </is>
      </c>
      <c r="U9" s="9" t="inlineStr">
        <is>
          <t>No gas split; no physical-output intensity. Methodology referred to 'Notes on Sustainability Information' in the Integrated Report. Scope 3 explicitly not assured.</t>
        </is>
      </c>
      <c r="V9" s="22" t="inlineStr">
        <is>
          <t>Open report</t>
        </is>
      </c>
    </row>
    <row r="10" ht="64" customHeight="1">
      <c r="A10" s="9" t="inlineStr">
        <is>
          <t>Mahindra &amp; Mahindra</t>
        </is>
      </c>
      <c r="B10" s="9" t="inlineStr">
        <is>
          <t>Automobiles</t>
        </is>
      </c>
      <c r="C10" s="9" t="inlineStr">
        <is>
          <t>Standalone</t>
        </is>
      </c>
      <c r="D10" s="18" t="n">
        <v>80319</v>
      </c>
      <c r="E10" s="18" t="n">
        <v>67829</v>
      </c>
      <c r="F10" s="19">
        <f>IF(E10=0,"",D10/E10-1)</f>
        <v/>
      </c>
      <c r="G10" s="18" t="n">
        <v>241210</v>
      </c>
      <c r="H10" s="18" t="n">
        <v>249830</v>
      </c>
      <c r="I10" s="19">
        <f>IF(H10=0,"",G10/H10-1)</f>
        <v/>
      </c>
      <c r="J10" s="20">
        <f>D10+G10</f>
        <v/>
      </c>
      <c r="K10" s="19">
        <f>IF(J10=0,"",D10/J10)</f>
        <v/>
      </c>
      <c r="L10" s="9" t="inlineStr">
        <is>
          <t>Market-based</t>
        </is>
      </c>
      <c r="M10" s="18" t="n"/>
      <c r="N10" s="18" t="n">
        <v>123705567</v>
      </c>
      <c r="O10" s="18" t="n">
        <v>94516227</v>
      </c>
      <c r="P10" s="21" t="n">
        <v>0.089</v>
      </c>
      <c r="Q10" s="9" t="inlineStr">
        <is>
          <t>tCO2e per equivalent vehicle (Auto)</t>
        </is>
      </c>
      <c r="R10" s="9" t="inlineStr">
        <is>
          <t>DNV Business Assurance India Private Limited</t>
        </is>
      </c>
      <c r="S10" s="10" t="inlineStr">
        <is>
          <t>Reasonable</t>
        </is>
      </c>
      <c r="T10" s="9" t="inlineStr">
        <is>
          <t>Carbon neutral (Scope 1+2) by 2040; SBT commitment</t>
        </is>
      </c>
      <c r="U10" s="9" t="inlineStr">
        <is>
          <t>No gas split. GHG Protocol; DNV verified to ISO 14064-3. Scope 3 rise driven by adding Trucks &amp; Buses business.</t>
        </is>
      </c>
      <c r="V10" s="22" t="inlineStr">
        <is>
          <t>Open report</t>
        </is>
      </c>
    </row>
    <row r="11" ht="64" customHeight="1">
      <c r="A11" s="9" t="inlineStr">
        <is>
          <t>Tata Steel</t>
        </is>
      </c>
      <c r="B11" s="9" t="inlineStr">
        <is>
          <t>Steel</t>
        </is>
      </c>
      <c r="C11" s="9" t="inlineStr">
        <is>
          <t>Standalone + consolidated</t>
        </is>
      </c>
      <c r="D11" s="18" t="n">
        <v>64000000</v>
      </c>
      <c r="E11" s="18" t="n">
        <v>61000000</v>
      </c>
      <c r="F11" s="19">
        <f>IF(E11=0,"",D11/E11-1)</f>
        <v/>
      </c>
      <c r="G11" s="18" t="n">
        <v>5000000</v>
      </c>
      <c r="H11" s="18" t="n">
        <v>5000000</v>
      </c>
      <c r="I11" s="19">
        <f>IF(H11=0,"",G11/H11-1)</f>
        <v/>
      </c>
      <c r="J11" s="20">
        <f>D11+G11</f>
        <v/>
      </c>
      <c r="K11" s="19">
        <f>IF(J11=0,"",D11/J11)</f>
        <v/>
      </c>
      <c r="L11" s="9" t="inlineStr">
        <is>
          <t>Location-based</t>
        </is>
      </c>
      <c r="M11" s="18" t="n"/>
      <c r="N11" s="18" t="n">
        <v>28000000</v>
      </c>
      <c r="O11" s="18" t="n">
        <v>23000000</v>
      </c>
      <c r="P11" s="21" t="n">
        <v>3.1</v>
      </c>
      <c r="Q11" s="9" t="inlineStr">
        <is>
          <t>tCO2e per tonne crude steel (standalone)</t>
        </is>
      </c>
      <c r="R11" s="9" t="inlineStr">
        <is>
          <t>Price Waterhouse &amp; Co Chartered Accountants LLP</t>
        </is>
      </c>
      <c r="S11" s="10" t="inlineStr">
        <is>
          <t>Reasonable</t>
        </is>
      </c>
      <c r="T11" s="9" t="inlineStr">
        <is>
          <t>Net Zero by 2045</t>
        </is>
      </c>
      <c r="U11" s="9" t="inlineStr">
        <is>
          <t>Reported in million tonnes (rounded). Consolidated: Scope 1 78 Mt; Scope 2 6 Mt; Scope 3 32 Mt. GHG Protocol Corporate and Scope 3 standards. Assurance covers standalone figures.</t>
        </is>
      </c>
      <c r="V11" s="22" t="inlineStr">
        <is>
          <t>Open report</t>
        </is>
      </c>
    </row>
    <row r="12">
      <c r="A12" s="12" t="inlineStr">
        <is>
          <t>Total (10 companies)</t>
        </is>
      </c>
      <c r="D12" s="23">
        <f>SUM(D2:D11)</f>
        <v/>
      </c>
      <c r="E12" s="23">
        <f>SUM(E2:E11)</f>
        <v/>
      </c>
      <c r="F12" s="24">
        <f>D12/E12-1</f>
        <v/>
      </c>
      <c r="G12" s="23">
        <f>SUM(G2:G11)</f>
        <v/>
      </c>
      <c r="H12" s="23">
        <f>SUM(H2:H11)</f>
        <v/>
      </c>
      <c r="I12" s="24">
        <f>G12/H12-1</f>
        <v/>
      </c>
      <c r="J12" s="23">
        <f>SUM(J2:J11)</f>
        <v/>
      </c>
    </row>
    <row r="14">
      <c r="A14" s="6" t="inlineStr">
        <is>
          <t>Blue figures are as reported in each FY2025-26 BRSR (Principle 6). Black cells are formulas.</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2026-10-21T12:43:59Z</dcterms:created>
  <dcterms:modified xmlns:dcterms="http://purl.org/dc/terms/" xmlns:xsi="http://www.w3.org/2001/XMLSchema-instance" xsi:type="dcterms:W3CDTF">2026-10-21T12:43:59Z</dcterms:modified>
</cp:coreProperties>
</file>